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cb4a1c0c7a4389a8/Documents/GitHub/GoLive_Staffing/"/>
    </mc:Choice>
  </mc:AlternateContent>
  <xr:revisionPtr revIDLastSave="307" documentId="13_ncr:1_{1D637CDB-FF44-4AB8-99D5-2902FDA30D6D}" xr6:coauthVersionLast="47" xr6:coauthVersionMax="47" xr10:uidLastSave="{F74492B1-9C57-4E44-B419-78ADD0EE6340}"/>
  <bookViews>
    <workbookView xWindow="3570" yWindow="1245" windowWidth="21600" windowHeight="12645" xr2:uid="{A3B2B6D9-7C24-445E-A372-57A39B7AE13F}"/>
  </bookViews>
  <sheets>
    <sheet name="Revenue" sheetId="1" r:id="rId1"/>
    <sheet name="Shift Count" sheetId="2" r:id="rId2"/>
    <sheet name="Active Staff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72" i="1" l="1"/>
  <c r="E71" i="1"/>
  <c r="E70" i="1"/>
  <c r="D3" i="3"/>
  <c r="D4" i="3"/>
  <c r="D5" i="3"/>
  <c r="D6" i="3"/>
  <c r="D7" i="3"/>
  <c r="D8" i="3"/>
  <c r="D9" i="3"/>
  <c r="D10" i="3"/>
  <c r="D11" i="3"/>
  <c r="D12" i="3"/>
  <c r="D13" i="3"/>
  <c r="D14" i="3"/>
  <c r="D15" i="3"/>
  <c r="D16" i="3"/>
  <c r="D17" i="3"/>
  <c r="D18" i="3"/>
  <c r="D19" i="3"/>
  <c r="D20" i="3"/>
  <c r="D21" i="3"/>
  <c r="D22" i="3"/>
  <c r="D23" i="3"/>
  <c r="D24" i="3"/>
  <c r="D25" i="3"/>
  <c r="D26" i="3"/>
  <c r="D27" i="3"/>
  <c r="D28" i="3"/>
  <c r="D29" i="3"/>
  <c r="D30" i="3"/>
  <c r="D31" i="3"/>
  <c r="D32" i="3"/>
  <c r="D33" i="3"/>
  <c r="D34" i="3"/>
  <c r="D35" i="3"/>
  <c r="D36" i="3"/>
  <c r="D37" i="3"/>
  <c r="D38" i="3"/>
  <c r="D39" i="3"/>
  <c r="D40" i="3"/>
  <c r="D41" i="3"/>
  <c r="D42" i="3"/>
  <c r="D43" i="3"/>
  <c r="D44" i="3"/>
  <c r="D45" i="3"/>
  <c r="D46" i="3"/>
  <c r="D47" i="3"/>
  <c r="D48" i="3"/>
  <c r="D49" i="3"/>
  <c r="D50" i="3"/>
  <c r="D51" i="3"/>
  <c r="D52" i="3"/>
  <c r="D53" i="3"/>
  <c r="D54" i="3"/>
  <c r="D55" i="3"/>
  <c r="D56" i="3"/>
  <c r="D57" i="3"/>
  <c r="D58" i="3"/>
  <c r="D59" i="3"/>
  <c r="D60" i="3"/>
  <c r="D61" i="3"/>
  <c r="D62" i="3"/>
  <c r="D63" i="3"/>
  <c r="D64" i="3"/>
  <c r="D65" i="3"/>
  <c r="D66" i="3"/>
  <c r="D67" i="3"/>
  <c r="D68" i="3"/>
  <c r="D69" i="3"/>
  <c r="D2" i="3"/>
</calcChain>
</file>

<file path=xl/sharedStrings.xml><?xml version="1.0" encoding="utf-8"?>
<sst xmlns="http://schemas.openxmlformats.org/spreadsheetml/2006/main" count="18" uniqueCount="18">
  <si>
    <t>2025 Revenue</t>
  </si>
  <si>
    <t>2025 Revenue Goal</t>
  </si>
  <si>
    <t>New Sales Revenue</t>
  </si>
  <si>
    <t>New Sales % of Revenue</t>
  </si>
  <si>
    <t>Above/Below Goal</t>
  </si>
  <si>
    <t>Week Ending</t>
  </si>
  <si>
    <t>Week Ending (Shift Count)</t>
  </si>
  <si>
    <t>2025 (Shift Count)</t>
  </si>
  <si>
    <t>Week Ending (Fill Rate)</t>
  </si>
  <si>
    <t>2025 (Fill Rate)</t>
  </si>
  <si>
    <t>2024 (Fill Rate)</t>
  </si>
  <si>
    <t>2024 (Shift Count)</t>
  </si>
  <si>
    <t>Active Staff</t>
  </si>
  <si>
    <t>Worked</t>
  </si>
  <si>
    <t>Percentage of Active Staff Working</t>
  </si>
  <si>
    <t>Date</t>
  </si>
  <si>
    <t>Ad Clicks</t>
  </si>
  <si>
    <t>Clickboarding Applicants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</si>
</sst>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$&quot;#,##0.00"/>
  </numFmts>
  <fonts count="1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name val="Aptos Narrow"/>
      <family val="2"/>
      <scheme val="minor"/>
    </font>
    <font>
      <sz val="12"/>
      <color rgb="FF000000"/>
      <name val="Calibri"/>
      <family val="2"/>
    </font>
    <font>
      <sz val="10"/>
      <color rgb="FF000000"/>
      <name val="Arial Unicode MS"/>
    </font>
    <font>
      <sz val="12"/>
      <name val="Calibri"/>
      <family val="2"/>
    </font>
    <font>
      <sz val="11"/>
      <color rgb="FFFF0000"/>
      <name val="Aptos Narrow"/>
      <family val="2"/>
      <scheme val="minor"/>
    </font>
    <font>
      <sz val="11"/>
      <color rgb="FF000000"/>
      <name val="Calibri"/>
      <family val="2"/>
    </font>
    <font>
      <sz val="11"/>
      <color rgb="FF000000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19">
    <xf numFmtId="0" fontId="0" fillId="0" borderId="0" xfId="0"/>
    <xf numFmtId="0" fontId="2" fillId="0" borderId="0" xfId="0" applyFont="1"/>
    <xf numFmtId="14" fontId="2" fillId="0" borderId="0" xfId="0" applyNumberFormat="1" applyFont="1"/>
    <xf numFmtId="14" fontId="0" fillId="0" borderId="0" xfId="0" applyNumberFormat="1"/>
    <xf numFmtId="164" fontId="2" fillId="0" borderId="0" xfId="0" applyNumberFormat="1" applyFont="1"/>
    <xf numFmtId="164" fontId="3" fillId="0" borderId="0" xfId="0" applyNumberFormat="1" applyFont="1"/>
    <xf numFmtId="164" fontId="0" fillId="0" borderId="0" xfId="0" applyNumberFormat="1"/>
    <xf numFmtId="10" fontId="0" fillId="0" borderId="0" xfId="1" applyNumberFormat="1" applyFont="1" applyFill="1" applyBorder="1"/>
    <xf numFmtId="164" fontId="5" fillId="0" borderId="0" xfId="0" applyNumberFormat="1" applyFont="1" applyAlignment="1">
      <alignment vertical="center"/>
    </xf>
    <xf numFmtId="0" fontId="4" fillId="0" borderId="0" xfId="0" applyFont="1"/>
    <xf numFmtId="1" fontId="4" fillId="0" borderId="0" xfId="0" applyNumberFormat="1" applyFont="1"/>
    <xf numFmtId="0" fontId="6" fillId="0" borderId="0" xfId="0" applyFont="1"/>
    <xf numFmtId="164" fontId="7" fillId="0" borderId="0" xfId="0" applyNumberFormat="1" applyFont="1"/>
    <xf numFmtId="0" fontId="8" fillId="0" borderId="0" xfId="0" applyFont="1"/>
    <xf numFmtId="2" fontId="2" fillId="0" borderId="0" xfId="0" applyNumberFormat="1" applyFont="1"/>
    <xf numFmtId="2" fontId="0" fillId="0" borderId="0" xfId="1" applyNumberFormat="1" applyFont="1"/>
    <xf numFmtId="2" fontId="0" fillId="0" borderId="0" xfId="0" applyNumberFormat="1"/>
    <xf numFmtId="10" fontId="0" fillId="0" borderId="0" xfId="1" applyNumberFormat="1" applyFont="1"/>
    <xf numFmtId="164" fontId="9" fillId="0" borderId="0" xfId="0" applyNumberFormat="1" applyFont="1"/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816EB9-28A4-4EE2-B083-40DDC67AF2B4}">
  <dimension ref="A1:F105"/>
  <sheetViews>
    <sheetView tabSelected="1" topLeftCell="A52" workbookViewId="0">
      <selection activeCell="B75" sqref="B75"/>
    </sheetView>
  </sheetViews>
  <sheetFormatPr defaultRowHeight="15"/>
  <cols>
    <col min="1" max="1" width="15.85546875" customWidth="1"/>
    <col min="2" max="2" width="16.5703125" customWidth="1"/>
    <col min="3" max="3" width="19.7109375" customWidth="1"/>
    <col min="4" max="4" width="20.140625" customWidth="1"/>
    <col min="5" max="5" width="26.5703125" customWidth="1"/>
    <col min="6" max="6" width="20" customWidth="1"/>
  </cols>
  <sheetData>
    <row r="1" spans="1:6">
      <c r="A1" s="1" t="s">
        <v>5</v>
      </c>
      <c r="B1" s="1" t="s">
        <v>0</v>
      </c>
      <c r="C1" s="4" t="s">
        <v>1</v>
      </c>
      <c r="D1" s="1" t="s">
        <v>2</v>
      </c>
      <c r="E1" s="1" t="s">
        <v>3</v>
      </c>
      <c r="F1" s="1" t="s">
        <v>4</v>
      </c>
    </row>
    <row r="2" spans="1:6">
      <c r="A2" s="3">
        <v>45662</v>
      </c>
      <c r="B2" s="5">
        <v>175864.13000000018</v>
      </c>
      <c r="C2" s="6">
        <v>182536.52999999997</v>
      </c>
      <c r="D2" s="5">
        <v>44120.2</v>
      </c>
      <c r="E2" s="7">
        <v>0.25087662845174824</v>
      </c>
      <c r="F2" s="7">
        <v>-4.5151126736111102E-2</v>
      </c>
    </row>
    <row r="3" spans="1:6">
      <c r="A3" s="3">
        <v>45669</v>
      </c>
      <c r="B3" s="6">
        <v>192420.60000000009</v>
      </c>
      <c r="C3" s="6">
        <v>243076.1799999997</v>
      </c>
      <c r="D3" s="6">
        <v>46136.89</v>
      </c>
      <c r="E3" s="7">
        <v>0.23977105361899909</v>
      </c>
      <c r="F3" s="7">
        <v>-0.21042197553046837</v>
      </c>
    </row>
    <row r="4" spans="1:6">
      <c r="A4" s="3">
        <v>45676</v>
      </c>
      <c r="B4" s="5">
        <v>206129.81999999995</v>
      </c>
      <c r="C4" s="6">
        <v>278804.31999999972</v>
      </c>
      <c r="D4" s="6">
        <v>39897.97</v>
      </c>
      <c r="E4" s="7">
        <v>0.19355748721849178</v>
      </c>
      <c r="F4" s="7">
        <v>-0.26837087746703425</v>
      </c>
    </row>
    <row r="5" spans="1:6">
      <c r="A5" s="3">
        <v>45683</v>
      </c>
      <c r="B5" s="6">
        <v>227637.27999999988</v>
      </c>
      <c r="C5" s="6">
        <v>325526.04999999946</v>
      </c>
      <c r="D5" s="6">
        <v>40608.269999999997</v>
      </c>
      <c r="E5" s="7">
        <v>0.17839024433959155</v>
      </c>
      <c r="F5" s="7">
        <v>-0.30124621362867787</v>
      </c>
    </row>
    <row r="6" spans="1:6">
      <c r="A6" s="3">
        <v>45690</v>
      </c>
      <c r="B6" s="5">
        <v>258359.94000000044</v>
      </c>
      <c r="C6" s="6">
        <v>310656.64999999967</v>
      </c>
      <c r="D6" s="6">
        <v>29584.42</v>
      </c>
      <c r="E6" s="7">
        <v>0.11450854184282575</v>
      </c>
      <c r="F6" s="7">
        <v>-0.16919853478108293</v>
      </c>
    </row>
    <row r="7" spans="1:6">
      <c r="A7" s="3">
        <v>45697</v>
      </c>
      <c r="B7" s="6">
        <v>211266.35999999984</v>
      </c>
      <c r="C7" s="6">
        <v>307344.53999999957</v>
      </c>
      <c r="D7" s="6">
        <v>35424.82</v>
      </c>
      <c r="E7" s="7">
        <v>0.16767846996559238</v>
      </c>
      <c r="F7" s="7">
        <v>-0.31335777105394391</v>
      </c>
    </row>
    <row r="8" spans="1:6">
      <c r="A8" s="3">
        <v>45704</v>
      </c>
      <c r="B8" s="5">
        <v>212049.63999999978</v>
      </c>
      <c r="C8" s="6">
        <v>327003.24000000022</v>
      </c>
      <c r="D8" s="6">
        <v>39715.01</v>
      </c>
      <c r="E8" s="7">
        <v>0.18729109844279879</v>
      </c>
      <c r="F8" s="7">
        <v>-0.35598408749711552</v>
      </c>
    </row>
    <row r="9" spans="1:6">
      <c r="A9" s="3">
        <v>45711</v>
      </c>
      <c r="B9" s="6">
        <v>183615.78999999989</v>
      </c>
      <c r="C9" s="6">
        <v>282217.79999999958</v>
      </c>
      <c r="D9" s="6">
        <v>38615.360000000001</v>
      </c>
      <c r="E9" s="7">
        <v>0.2103052248393236</v>
      </c>
      <c r="F9" s="7">
        <v>-0.35142563651194125</v>
      </c>
    </row>
    <row r="10" spans="1:6">
      <c r="A10" s="3">
        <v>45718</v>
      </c>
      <c r="B10" s="5">
        <v>278509.11000000034</v>
      </c>
      <c r="C10" s="6">
        <v>406848.86999999994</v>
      </c>
      <c r="D10" s="6">
        <v>34311.769999999997</v>
      </c>
      <c r="E10" s="7">
        <v>0.12319801675428123</v>
      </c>
      <c r="F10" s="7">
        <v>-0.31520102292529417</v>
      </c>
    </row>
    <row r="11" spans="1:6">
      <c r="A11" s="3">
        <v>45725</v>
      </c>
      <c r="B11" s="5">
        <v>225731.6199999997</v>
      </c>
      <c r="C11" s="6">
        <v>492946.42999999959</v>
      </c>
      <c r="D11" s="6">
        <v>36215.15</v>
      </c>
      <c r="E11" s="7">
        <v>0.16043454612162908</v>
      </c>
      <c r="F11" s="7">
        <v>-0.53994678488694969</v>
      </c>
    </row>
    <row r="12" spans="1:6">
      <c r="A12" s="3">
        <v>45732</v>
      </c>
      <c r="B12" s="5">
        <v>207557.50999999989</v>
      </c>
      <c r="C12" s="6">
        <v>468207.41000000003</v>
      </c>
      <c r="D12" s="6">
        <v>40701.64</v>
      </c>
      <c r="E12" s="7">
        <v>0.19609813203097309</v>
      </c>
      <c r="F12" s="7">
        <v>-0.56258338585457268</v>
      </c>
    </row>
    <row r="13" spans="1:6">
      <c r="A13" s="3">
        <v>45739</v>
      </c>
      <c r="B13" s="5">
        <v>275308.37999999995</v>
      </c>
      <c r="C13" s="6">
        <v>375603.12999999931</v>
      </c>
      <c r="D13" s="6">
        <v>38585.089999999997</v>
      </c>
      <c r="E13" s="7">
        <v>0.14015225399241391</v>
      </c>
      <c r="F13" s="7">
        <v>-0.27094814145984192</v>
      </c>
    </row>
    <row r="14" spans="1:6">
      <c r="A14" s="3">
        <v>45746</v>
      </c>
      <c r="B14" s="5">
        <v>247879.94999999987</v>
      </c>
      <c r="C14" s="6">
        <v>340411.14000000025</v>
      </c>
      <c r="D14" s="6">
        <v>44522.61</v>
      </c>
      <c r="E14" s="7">
        <v>0.17961359924431172</v>
      </c>
      <c r="F14" s="7">
        <v>-0.27107223929275692</v>
      </c>
    </row>
    <row r="15" spans="1:6">
      <c r="A15" s="3">
        <v>45753</v>
      </c>
      <c r="B15" s="5">
        <v>242801.86000000022</v>
      </c>
      <c r="C15" s="6">
        <v>273530.54999999987</v>
      </c>
      <c r="D15" s="6">
        <v>32490.55</v>
      </c>
      <c r="E15" s="7">
        <v>0.13381507868185183</v>
      </c>
      <c r="F15" s="7">
        <v>-0.11262712702475053</v>
      </c>
    </row>
    <row r="16" spans="1:6">
      <c r="A16" s="3">
        <v>45760</v>
      </c>
      <c r="B16" s="5">
        <v>228633.99000000028</v>
      </c>
      <c r="C16" s="6">
        <v>390090.2900000001</v>
      </c>
      <c r="D16" s="6">
        <v>33837.99</v>
      </c>
      <c r="E16" s="7">
        <v>0.14800069753408038</v>
      </c>
      <c r="F16" s="7">
        <v>-0.41901340328158387</v>
      </c>
    </row>
    <row r="17" spans="1:6">
      <c r="A17" s="3">
        <v>45767</v>
      </c>
      <c r="B17" s="5">
        <v>201560.56000000008</v>
      </c>
      <c r="C17" s="6">
        <v>313611.45000000007</v>
      </c>
      <c r="D17" s="6">
        <v>17636.990000000002</v>
      </c>
      <c r="E17" s="7">
        <v>8.7502187928035102E-2</v>
      </c>
      <c r="F17" s="7">
        <v>-0.36033738564073481</v>
      </c>
    </row>
    <row r="18" spans="1:6">
      <c r="A18" s="3">
        <v>45774</v>
      </c>
      <c r="B18" s="5">
        <v>267778.58000000013</v>
      </c>
      <c r="C18" s="6">
        <v>352412.92999999953</v>
      </c>
      <c r="D18" s="6">
        <v>19405.37</v>
      </c>
      <c r="E18" s="7">
        <v>7.2467969618779771E-2</v>
      </c>
      <c r="F18" s="7">
        <v>-0.24687780326334685</v>
      </c>
    </row>
    <row r="19" spans="1:6">
      <c r="A19" s="3">
        <v>45781</v>
      </c>
      <c r="B19" s="5">
        <v>261797.85000000012</v>
      </c>
      <c r="C19" s="6">
        <v>364950.25999999949</v>
      </c>
      <c r="D19" s="6">
        <v>26001.22</v>
      </c>
      <c r="E19" s="7">
        <v>9.9317927935618985E-2</v>
      </c>
      <c r="F19" s="7">
        <v>-0.29010821913101137</v>
      </c>
    </row>
    <row r="20" spans="1:6">
      <c r="A20" s="3">
        <v>45788</v>
      </c>
      <c r="B20" s="18">
        <v>261422.42000000019</v>
      </c>
      <c r="C20" s="6">
        <v>425529.93000000058</v>
      </c>
      <c r="D20" s="6">
        <v>24131.13</v>
      </c>
      <c r="E20" s="7">
        <v>9.2307040842174073E-2</v>
      </c>
      <c r="F20" s="7">
        <v>-0.38659980979481356</v>
      </c>
    </row>
    <row r="21" spans="1:6">
      <c r="A21" s="3">
        <v>45795</v>
      </c>
      <c r="B21" s="6">
        <v>240394.75000000003</v>
      </c>
      <c r="C21" s="6">
        <v>336398.62999999977</v>
      </c>
      <c r="D21" s="6">
        <v>28214.74</v>
      </c>
      <c r="E21" s="7">
        <v>0.11736837014951448</v>
      </c>
      <c r="F21" s="7">
        <v>-0.29075380003777007</v>
      </c>
    </row>
    <row r="22" spans="1:6">
      <c r="A22" s="3">
        <v>45802</v>
      </c>
      <c r="B22" s="6">
        <v>241059.74</v>
      </c>
      <c r="C22" s="6">
        <v>308474.0399999998</v>
      </c>
      <c r="D22" s="6">
        <v>21013.759999999998</v>
      </c>
      <c r="E22" s="7">
        <v>8.7172416264947428E-2</v>
      </c>
      <c r="F22" s="7">
        <v>-0.22235670139373753</v>
      </c>
    </row>
    <row r="23" spans="1:6">
      <c r="A23" s="3">
        <v>45809</v>
      </c>
      <c r="B23" s="6">
        <v>188998.86000000002</v>
      </c>
      <c r="C23" s="6">
        <v>265417.39000000007</v>
      </c>
      <c r="D23" s="6">
        <v>24408.86</v>
      </c>
      <c r="E23" s="7">
        <v>0.12914818639646822</v>
      </c>
      <c r="F23" s="7">
        <v>-0.30224971317817573</v>
      </c>
    </row>
    <row r="24" spans="1:6">
      <c r="A24" s="3">
        <v>45816</v>
      </c>
      <c r="B24" s="6">
        <v>231871.95000000013</v>
      </c>
      <c r="C24" s="6">
        <v>370097.93999999989</v>
      </c>
      <c r="D24" s="6">
        <v>27792.94</v>
      </c>
      <c r="E24" s="7">
        <v>0.11986331248777604</v>
      </c>
      <c r="F24" s="7">
        <v>-0.37760537116202242</v>
      </c>
    </row>
    <row r="25" spans="1:6">
      <c r="A25" s="3">
        <v>45823</v>
      </c>
      <c r="B25" s="6">
        <v>211965.56999999989</v>
      </c>
      <c r="C25" s="6">
        <v>322732.31999999989</v>
      </c>
      <c r="D25" s="6">
        <v>15232.25</v>
      </c>
      <c r="E25" s="7">
        <v>7.186190662945878E-2</v>
      </c>
      <c r="F25" s="7">
        <v>-0.34492696609995521</v>
      </c>
    </row>
    <row r="26" spans="1:6">
      <c r="A26" s="3">
        <v>45830</v>
      </c>
      <c r="B26" s="6">
        <v>194872.5800000001</v>
      </c>
      <c r="C26" s="6">
        <v>317908.49999999983</v>
      </c>
      <c r="D26" s="6">
        <v>19490.28</v>
      </c>
      <c r="E26" s="7">
        <v>0.10001550756909972</v>
      </c>
      <c r="F26" s="7">
        <v>-0.38819446475951369</v>
      </c>
    </row>
    <row r="27" spans="1:6">
      <c r="A27" s="3">
        <v>45837</v>
      </c>
      <c r="B27" s="6">
        <v>219140.97999999978</v>
      </c>
      <c r="C27" s="6">
        <v>331006.54999999987</v>
      </c>
      <c r="D27" s="6">
        <v>37972.67</v>
      </c>
      <c r="E27" s="7">
        <v>0.1732796394357643</v>
      </c>
      <c r="F27" s="7">
        <v>-0.34608614240413027</v>
      </c>
    </row>
    <row r="28" spans="1:6">
      <c r="A28" s="3">
        <v>45844</v>
      </c>
      <c r="B28" s="6">
        <v>150923.00000000006</v>
      </c>
      <c r="C28" s="6">
        <v>241221.7500000002</v>
      </c>
      <c r="D28" s="6">
        <v>17824.099999999999</v>
      </c>
      <c r="E28" s="7">
        <v>0.11810062084639181</v>
      </c>
      <c r="F28" s="7">
        <v>-0.375796129494957</v>
      </c>
    </row>
    <row r="29" spans="1:6">
      <c r="A29" s="3">
        <v>45851</v>
      </c>
      <c r="B29" s="6">
        <v>170722.08999999994</v>
      </c>
      <c r="C29" s="6">
        <v>258857.03999999975</v>
      </c>
      <c r="D29" s="8">
        <v>24135.43</v>
      </c>
      <c r="E29" s="7">
        <v>0.14137262494853484</v>
      </c>
      <c r="F29" s="7">
        <v>-0.34572318373106548</v>
      </c>
    </row>
    <row r="30" spans="1:6">
      <c r="A30" s="3">
        <v>45858</v>
      </c>
      <c r="B30" s="6">
        <v>197567.33999999985</v>
      </c>
      <c r="C30" s="6">
        <v>307494.14999999956</v>
      </c>
      <c r="D30" s="6">
        <v>31360.51</v>
      </c>
      <c r="E30" s="7">
        <v>0.1587332703877069</v>
      </c>
      <c r="F30" s="7">
        <v>-0.35685700036894907</v>
      </c>
    </row>
    <row r="31" spans="1:6">
      <c r="A31" s="3">
        <v>45865</v>
      </c>
      <c r="B31" s="6">
        <v>186269.21</v>
      </c>
      <c r="C31" s="6">
        <v>291026.70999999985</v>
      </c>
      <c r="D31" s="6">
        <v>34519.42</v>
      </c>
      <c r="E31" s="7">
        <v>0.18532005370076998</v>
      </c>
      <c r="F31" s="7">
        <v>-0.36322782881337545</v>
      </c>
    </row>
    <row r="32" spans="1:6">
      <c r="A32" s="3">
        <v>45872</v>
      </c>
      <c r="B32" s="6">
        <v>181135.72999999989</v>
      </c>
      <c r="C32" s="6">
        <v>293420.3499999998</v>
      </c>
      <c r="D32" s="6">
        <v>23957.25</v>
      </c>
      <c r="E32" s="7">
        <v>0.13226131586518031</v>
      </c>
      <c r="F32" s="7">
        <v>-0.38392967631590613</v>
      </c>
    </row>
    <row r="33" spans="1:6">
      <c r="A33" s="3">
        <v>45879</v>
      </c>
      <c r="B33" s="6">
        <v>214183.31000000043</v>
      </c>
      <c r="C33" s="6">
        <v>289832.15999999968</v>
      </c>
      <c r="D33" s="6">
        <v>45357.899999999994</v>
      </c>
      <c r="E33" s="7">
        <v>0.21177140272974537</v>
      </c>
      <c r="F33" s="7">
        <v>-0.27166201983934346</v>
      </c>
    </row>
    <row r="34" spans="1:6">
      <c r="A34" s="3">
        <v>45886</v>
      </c>
      <c r="B34" s="6">
        <v>245715.64000000007</v>
      </c>
      <c r="C34" s="6">
        <v>337646.1199999997</v>
      </c>
      <c r="D34" s="6">
        <v>52670.850000000006</v>
      </c>
      <c r="E34" s="7">
        <v>0.21435692900948425</v>
      </c>
      <c r="F34" s="7">
        <v>-0.27782096237326748</v>
      </c>
    </row>
    <row r="35" spans="1:6">
      <c r="A35" s="3">
        <v>45893</v>
      </c>
      <c r="B35" s="6">
        <v>216910.4800000001</v>
      </c>
      <c r="C35" s="6">
        <v>377961.64999999956</v>
      </c>
      <c r="D35" s="6">
        <v>35063.42</v>
      </c>
      <c r="E35" s="7">
        <v>0.16164926655457118</v>
      </c>
      <c r="F35" s="7">
        <v>-0.42789595187765661</v>
      </c>
    </row>
    <row r="36" spans="1:6">
      <c r="A36" s="3">
        <v>45900</v>
      </c>
      <c r="B36" s="6">
        <v>203259.63999999996</v>
      </c>
      <c r="C36" s="6">
        <v>336254.38999999972</v>
      </c>
      <c r="D36" s="6">
        <v>36863.040000000001</v>
      </c>
      <c r="E36" s="7">
        <v>0.18135936873645947</v>
      </c>
      <c r="F36" s="7">
        <v>-0.39767760355485571</v>
      </c>
    </row>
    <row r="37" spans="1:6">
      <c r="A37" s="3">
        <v>45907</v>
      </c>
      <c r="B37" s="6">
        <v>238336.60999999969</v>
      </c>
      <c r="C37" s="6">
        <v>307653.78999999957</v>
      </c>
      <c r="D37" s="6">
        <v>61066.96</v>
      </c>
      <c r="E37" s="7">
        <v>0.25622148439553655</v>
      </c>
      <c r="F37" s="7">
        <v>-0.23236801340883739</v>
      </c>
    </row>
    <row r="38" spans="1:6">
      <c r="A38" s="3">
        <v>45914</v>
      </c>
      <c r="B38" s="6">
        <v>275906.22999999934</v>
      </c>
      <c r="C38" s="6">
        <v>478029.9800000001</v>
      </c>
      <c r="D38" s="6">
        <v>45558.13</v>
      </c>
      <c r="E38" s="7">
        <v>0.16512178793498106</v>
      </c>
      <c r="F38" s="7">
        <v>-0.42734853157117891</v>
      </c>
    </row>
    <row r="39" spans="1:6">
      <c r="A39" s="3">
        <v>45921</v>
      </c>
      <c r="B39" s="6">
        <v>326069.63999999972</v>
      </c>
      <c r="C39" s="6">
        <v>358026.49</v>
      </c>
      <c r="D39" s="6">
        <v>85075.85</v>
      </c>
      <c r="E39" s="7">
        <v>0.26091312886412876</v>
      </c>
      <c r="F39" s="7">
        <v>-9.4048487864682784E-2</v>
      </c>
    </row>
    <row r="40" spans="1:6">
      <c r="A40" s="3">
        <v>45928</v>
      </c>
      <c r="B40" s="6">
        <v>242252.71999999994</v>
      </c>
      <c r="C40" s="6">
        <v>377543.97999999917</v>
      </c>
      <c r="D40" s="6">
        <v>42243.31</v>
      </c>
      <c r="E40" s="7">
        <v>0.17437703073055283</v>
      </c>
      <c r="F40" s="7">
        <v>-0.36109644762445825</v>
      </c>
    </row>
    <row r="41" spans="1:6">
      <c r="A41" s="3">
        <v>45935</v>
      </c>
      <c r="B41" s="6">
        <v>246988.04999999987</v>
      </c>
      <c r="C41" s="6">
        <v>357141.31999999983</v>
      </c>
      <c r="D41" s="6">
        <v>66246.09</v>
      </c>
      <c r="E41" s="7">
        <v>0.26821576995324281</v>
      </c>
      <c r="F41" s="7">
        <v>-0.30816686235017532</v>
      </c>
    </row>
    <row r="42" spans="1:6">
      <c r="A42" s="3">
        <v>45942</v>
      </c>
      <c r="B42" s="6">
        <v>250811.53999999966</v>
      </c>
      <c r="C42" s="6">
        <v>343271.64999999973</v>
      </c>
      <c r="D42" s="6">
        <v>27464.48</v>
      </c>
      <c r="E42" s="7">
        <v>0.10950245750255366</v>
      </c>
      <c r="F42" s="7">
        <v>-0.27104443375967646</v>
      </c>
    </row>
    <row r="43" spans="1:6">
      <c r="A43" s="3">
        <v>45949</v>
      </c>
      <c r="B43" s="6">
        <v>291954.72999999986</v>
      </c>
      <c r="C43" s="6">
        <v>395964.53000000026</v>
      </c>
      <c r="D43" s="6">
        <v>56897.53</v>
      </c>
      <c r="E43" s="7">
        <v>0.19488476860779075</v>
      </c>
      <c r="F43" s="7">
        <v>-0.26386964509169575</v>
      </c>
    </row>
    <row r="44" spans="1:6">
      <c r="A44" s="3">
        <v>45956</v>
      </c>
      <c r="B44" s="6">
        <v>243725.02999999982</v>
      </c>
      <c r="C44" s="6">
        <v>417034.32999999961</v>
      </c>
      <c r="D44" s="6">
        <v>44556.4</v>
      </c>
      <c r="E44" s="7">
        <v>0.18281421485515884</v>
      </c>
      <c r="F44" s="7">
        <v>-0.42353117547900632</v>
      </c>
    </row>
    <row r="45" spans="1:6">
      <c r="A45" s="3">
        <v>45963</v>
      </c>
      <c r="B45" s="6">
        <v>250268.73999999982</v>
      </c>
      <c r="C45" s="6">
        <v>389381.13999999932</v>
      </c>
      <c r="D45" s="6">
        <v>54508.77</v>
      </c>
      <c r="E45" s="7">
        <v>0.21780095268789876</v>
      </c>
      <c r="F45" s="7"/>
    </row>
    <row r="46" spans="1:6">
      <c r="A46" s="3">
        <v>45970</v>
      </c>
      <c r="B46" s="6">
        <v>283545.60999999969</v>
      </c>
      <c r="C46" s="6">
        <v>394153.5100000003</v>
      </c>
      <c r="D46" s="6">
        <v>41260.21</v>
      </c>
      <c r="E46" s="7">
        <v>0.14551524885185155</v>
      </c>
      <c r="F46" s="7"/>
    </row>
    <row r="47" spans="1:6">
      <c r="A47" s="3">
        <v>45977</v>
      </c>
      <c r="B47" s="6">
        <v>299942.49000000005</v>
      </c>
      <c r="C47" s="6">
        <v>358939.24000000005</v>
      </c>
      <c r="D47" s="6">
        <v>43047.63</v>
      </c>
      <c r="E47" s="7">
        <v>0.14351961270975644</v>
      </c>
      <c r="F47" s="7"/>
    </row>
    <row r="48" spans="1:6">
      <c r="A48" s="3">
        <v>45984</v>
      </c>
      <c r="B48" s="6">
        <v>319122.93999999948</v>
      </c>
      <c r="C48" s="6">
        <v>527012.11999999965</v>
      </c>
      <c r="D48" s="6">
        <v>46355.43</v>
      </c>
      <c r="E48" s="7">
        <v>0.14525884601088243</v>
      </c>
      <c r="F48" s="7"/>
    </row>
    <row r="49" spans="1:6">
      <c r="A49" s="3">
        <v>45991</v>
      </c>
      <c r="B49" s="6">
        <v>167539.19</v>
      </c>
      <c r="C49" s="6">
        <v>233700.89000000019</v>
      </c>
      <c r="D49" s="6">
        <v>26296.86</v>
      </c>
      <c r="E49" s="7">
        <v>0.1569594552772996</v>
      </c>
      <c r="F49" s="7"/>
    </row>
    <row r="50" spans="1:6">
      <c r="A50" s="3">
        <v>45998</v>
      </c>
      <c r="B50" s="6">
        <v>309070.21999999939</v>
      </c>
      <c r="C50" s="6">
        <v>434505.2599999996</v>
      </c>
      <c r="D50" s="6">
        <v>39028.44</v>
      </c>
      <c r="E50" s="7">
        <v>0.12627693473670831</v>
      </c>
      <c r="F50" s="7"/>
    </row>
    <row r="51" spans="1:6">
      <c r="A51" s="3">
        <v>46005</v>
      </c>
      <c r="B51" s="6">
        <v>356160.30999999924</v>
      </c>
      <c r="C51" s="6">
        <v>445049.27999999956</v>
      </c>
      <c r="D51" s="6">
        <v>53963.23</v>
      </c>
      <c r="E51" s="7">
        <v>0.15151387868008123</v>
      </c>
      <c r="F51" s="7"/>
    </row>
    <row r="52" spans="1:6">
      <c r="A52" s="3">
        <v>46012</v>
      </c>
      <c r="B52" s="6">
        <v>239593.25999999989</v>
      </c>
      <c r="C52" s="6">
        <v>245005.63000000009</v>
      </c>
      <c r="D52" s="6">
        <v>35499.43</v>
      </c>
      <c r="E52" s="7">
        <v>0.14816539496979178</v>
      </c>
      <c r="F52" s="7"/>
    </row>
    <row r="53" spans="1:6">
      <c r="A53" s="3">
        <v>46019</v>
      </c>
      <c r="B53" s="6">
        <v>126906.96000000002</v>
      </c>
      <c r="C53" s="6">
        <v>130961.07000000005</v>
      </c>
      <c r="D53" s="6">
        <v>24648.43</v>
      </c>
      <c r="E53" s="7">
        <v>0.19422441448443803</v>
      </c>
      <c r="F53" s="7"/>
    </row>
    <row r="54" spans="1:6">
      <c r="A54" s="3">
        <v>46026</v>
      </c>
      <c r="B54" s="6">
        <v>154590.3599999999</v>
      </c>
      <c r="C54" s="12">
        <v>182536.52999999997</v>
      </c>
      <c r="D54" s="6">
        <v>22093.8</v>
      </c>
      <c r="E54" s="7">
        <v>0.14291835532306163</v>
      </c>
    </row>
    <row r="55" spans="1:6">
      <c r="A55" s="3">
        <v>46033</v>
      </c>
      <c r="B55" s="6">
        <v>147041.63000000006</v>
      </c>
      <c r="C55" s="12">
        <v>243076.1799999997</v>
      </c>
      <c r="D55" s="6">
        <v>11291.47</v>
      </c>
      <c r="E55" s="7">
        <v>7.6790974093527087E-2</v>
      </c>
    </row>
    <row r="56" spans="1:6">
      <c r="A56" s="3">
        <v>46040</v>
      </c>
      <c r="B56" s="6">
        <v>214428.76999999973</v>
      </c>
      <c r="C56" s="12">
        <v>278804.31999999972</v>
      </c>
      <c r="D56" s="6">
        <v>20004.82</v>
      </c>
      <c r="E56" s="7">
        <v>9.3293544518303323E-2</v>
      </c>
    </row>
    <row r="57" spans="1:6">
      <c r="A57" s="3">
        <v>46047</v>
      </c>
      <c r="B57" s="6">
        <v>212972.61000000034</v>
      </c>
      <c r="C57" s="12">
        <v>325526.04999999946</v>
      </c>
      <c r="D57" s="6">
        <v>17217.009999999998</v>
      </c>
      <c r="E57" s="7">
        <v>8.0841428388373368E-2</v>
      </c>
    </row>
    <row r="58" spans="1:6">
      <c r="A58" s="3">
        <v>46054</v>
      </c>
      <c r="B58" s="6">
        <v>186591.42</v>
      </c>
      <c r="C58" s="12">
        <v>310656.64999999967</v>
      </c>
      <c r="D58" s="6">
        <v>17748.599999999999</v>
      </c>
      <c r="E58" s="7">
        <v>9.5120129317843222E-2</v>
      </c>
    </row>
    <row r="59" spans="1:6">
      <c r="A59" s="3">
        <v>46061</v>
      </c>
      <c r="B59" s="6">
        <v>179969.4499999999</v>
      </c>
      <c r="C59" s="12">
        <v>307344.53999999957</v>
      </c>
      <c r="D59" s="6">
        <v>29009.63</v>
      </c>
      <c r="E59" s="17">
        <v>0.16119196897028923</v>
      </c>
    </row>
    <row r="60" spans="1:6">
      <c r="A60" s="3">
        <v>46068</v>
      </c>
      <c r="B60" s="6">
        <v>194687.86999999956</v>
      </c>
      <c r="C60" s="12">
        <v>327003.24000000022</v>
      </c>
      <c r="D60" s="6">
        <v>10413.379999999999</v>
      </c>
      <c r="E60" s="17">
        <v>5.3487564479492343E-2</v>
      </c>
    </row>
    <row r="61" spans="1:6">
      <c r="A61" s="3">
        <v>46075</v>
      </c>
      <c r="B61" s="6">
        <v>200855.62</v>
      </c>
      <c r="C61" s="12">
        <v>282217.79999999958</v>
      </c>
      <c r="D61" s="6">
        <v>18088.34</v>
      </c>
      <c r="E61" s="17">
        <v>9.0056429588577111E-2</v>
      </c>
    </row>
    <row r="62" spans="1:6">
      <c r="A62" s="3">
        <v>46082</v>
      </c>
      <c r="B62" s="6">
        <v>252257.11999999889</v>
      </c>
      <c r="C62" s="12">
        <v>406848.86999999994</v>
      </c>
      <c r="D62" s="6">
        <v>62988.69</v>
      </c>
      <c r="E62" s="17">
        <v>0.2497003454253354</v>
      </c>
    </row>
    <row r="63" spans="1:6">
      <c r="A63" s="3">
        <v>46089</v>
      </c>
      <c r="B63" s="6">
        <v>306206.7299999987</v>
      </c>
      <c r="C63" s="12">
        <v>492946.42999999959</v>
      </c>
      <c r="D63" s="6">
        <v>120206.45</v>
      </c>
      <c r="E63" s="17">
        <v>0.39256632275848574</v>
      </c>
    </row>
    <row r="64" spans="1:6">
      <c r="A64" s="3">
        <v>46096</v>
      </c>
      <c r="B64" s="6">
        <v>317503.80999999947</v>
      </c>
      <c r="C64" s="12">
        <v>468207.41000000003</v>
      </c>
      <c r="D64" s="6">
        <v>139609.89000000001</v>
      </c>
      <c r="E64" s="17">
        <v>0.43971091244542937</v>
      </c>
    </row>
    <row r="65" spans="1:5">
      <c r="A65" s="3">
        <v>46103</v>
      </c>
      <c r="B65" s="6">
        <v>193573.41999999993</v>
      </c>
      <c r="C65" s="12">
        <v>375603.12999999931</v>
      </c>
      <c r="D65" s="6">
        <v>19608.54</v>
      </c>
      <c r="E65" s="17">
        <v>0.10129768849462911</v>
      </c>
    </row>
    <row r="66" spans="1:5">
      <c r="A66" s="3">
        <v>46110</v>
      </c>
      <c r="B66" s="6">
        <v>218457.35</v>
      </c>
      <c r="C66" s="12">
        <v>340411.14000000025</v>
      </c>
      <c r="D66" s="6">
        <v>17373.64</v>
      </c>
      <c r="E66" s="17">
        <v>7.9528750119874647E-2</v>
      </c>
    </row>
    <row r="67" spans="1:5">
      <c r="A67" s="3">
        <v>46117</v>
      </c>
      <c r="B67" s="6">
        <v>211970.98999999987</v>
      </c>
      <c r="C67" s="12">
        <v>273530.54999999987</v>
      </c>
      <c r="D67" s="6">
        <v>39934.559999999998</v>
      </c>
      <c r="E67" s="17">
        <v>0.18839634612264641</v>
      </c>
    </row>
    <row r="68" spans="1:5">
      <c r="A68" s="3">
        <v>46124</v>
      </c>
      <c r="B68" s="6">
        <v>236127.91000000009</v>
      </c>
      <c r="C68" s="12">
        <v>390090.2900000001</v>
      </c>
      <c r="D68" s="6">
        <v>47160.56</v>
      </c>
      <c r="E68" s="17">
        <v>0.19972463229780835</v>
      </c>
    </row>
    <row r="69" spans="1:5">
      <c r="A69" s="3">
        <v>46131</v>
      </c>
      <c r="B69" s="6">
        <v>225408.63999999978</v>
      </c>
      <c r="C69" s="12">
        <v>313611.45000000007</v>
      </c>
      <c r="D69" s="6">
        <v>23515.86</v>
      </c>
      <c r="E69" s="17">
        <v>0.10432545975167599</v>
      </c>
    </row>
    <row r="70" spans="1:5">
      <c r="A70" s="3">
        <v>46138</v>
      </c>
      <c r="B70" s="6">
        <v>247043.57</v>
      </c>
      <c r="C70" s="12">
        <v>352412.92999999953</v>
      </c>
      <c r="D70" s="6">
        <v>28503.9</v>
      </c>
      <c r="E70" s="17">
        <f>D70/B70</f>
        <v>0.11538005219079371</v>
      </c>
    </row>
    <row r="71" spans="1:5">
      <c r="A71" s="3">
        <v>46145</v>
      </c>
      <c r="B71" s="6">
        <v>258732.74</v>
      </c>
      <c r="C71" s="12">
        <v>364950.25999999949</v>
      </c>
      <c r="D71" s="6">
        <v>27447.83</v>
      </c>
      <c r="E71" s="17">
        <f>D71/B71</f>
        <v>0.10608564652467253</v>
      </c>
    </row>
    <row r="72" spans="1:5">
      <c r="A72" s="3">
        <v>46152</v>
      </c>
      <c r="B72" s="6">
        <v>238851.29999999952</v>
      </c>
      <c r="C72" s="12">
        <v>425529.93000000058</v>
      </c>
      <c r="D72" s="6">
        <v>28092.03</v>
      </c>
      <c r="E72" s="17">
        <f>D72/B72</f>
        <v>0.1176130504627777</v>
      </c>
    </row>
    <row r="73" spans="1:5">
      <c r="A73" s="3">
        <v>46159</v>
      </c>
      <c r="B73" s="6">
        <v>254353.33000000005</v>
      </c>
      <c r="C73" s="12">
        <v>336398.62999999977</v>
      </c>
      <c r="D73" s="6">
        <v>37194.65</v>
      </c>
      <c r="E73" s="17">
        <v>0.14623221170330264</v>
      </c>
    </row>
    <row r="74" spans="1:5">
      <c r="A74" s="3">
        <v>46166</v>
      </c>
      <c r="B74" s="6">
        <v>210421.95</v>
      </c>
      <c r="C74" s="12">
        <v>308474.0399999998</v>
      </c>
      <c r="D74" s="6">
        <v>41836.36</v>
      </c>
      <c r="E74" s="17">
        <v>0.19882127316090359</v>
      </c>
    </row>
    <row r="75" spans="1:5">
      <c r="A75" s="3">
        <v>46173</v>
      </c>
      <c r="B75" s="6"/>
      <c r="C75" s="12">
        <v>265417.39000000007</v>
      </c>
      <c r="D75" s="6"/>
      <c r="E75" s="17"/>
    </row>
    <row r="76" spans="1:5">
      <c r="B76" s="6"/>
      <c r="C76" s="12">
        <v>370097.93999999989</v>
      </c>
      <c r="D76" s="6"/>
      <c r="E76" s="17"/>
    </row>
    <row r="77" spans="1:5">
      <c r="B77" s="6"/>
      <c r="C77" s="12">
        <v>322732.31999999989</v>
      </c>
      <c r="D77" s="6"/>
      <c r="E77" s="17"/>
    </row>
    <row r="78" spans="1:5">
      <c r="B78" s="6"/>
      <c r="C78" s="12">
        <v>317908.49999999983</v>
      </c>
      <c r="D78" s="6"/>
      <c r="E78" s="17"/>
    </row>
    <row r="79" spans="1:5">
      <c r="B79" s="6"/>
      <c r="C79" s="12">
        <v>331006.54999999987</v>
      </c>
      <c r="D79" s="6"/>
      <c r="E79" s="17"/>
    </row>
    <row r="80" spans="1:5">
      <c r="B80" s="6"/>
      <c r="C80" s="12">
        <v>241221.7500000002</v>
      </c>
      <c r="D80" s="6"/>
      <c r="E80" s="17"/>
    </row>
    <row r="81" spans="3:5">
      <c r="C81" s="12"/>
      <c r="E81" s="17"/>
    </row>
    <row r="82" spans="3:5">
      <c r="C82" s="12"/>
      <c r="E82" s="17"/>
    </row>
    <row r="83" spans="3:5">
      <c r="C83" s="12"/>
      <c r="E83" s="17"/>
    </row>
    <row r="84" spans="3:5">
      <c r="C84" s="12"/>
      <c r="E84" s="17"/>
    </row>
    <row r="85" spans="3:5">
      <c r="C85" s="12"/>
      <c r="E85" s="17"/>
    </row>
    <row r="86" spans="3:5">
      <c r="C86" s="12"/>
      <c r="E86" s="17"/>
    </row>
    <row r="87" spans="3:5">
      <c r="C87" s="12"/>
      <c r="E87" s="17"/>
    </row>
    <row r="88" spans="3:5">
      <c r="C88" s="12"/>
      <c r="E88" s="17"/>
    </row>
    <row r="89" spans="3:5">
      <c r="C89" s="12"/>
    </row>
    <row r="90" spans="3:5">
      <c r="C90" s="12"/>
    </row>
    <row r="91" spans="3:5">
      <c r="C91" s="12"/>
    </row>
    <row r="92" spans="3:5">
      <c r="C92" s="12"/>
    </row>
    <row r="93" spans="3:5">
      <c r="C93" s="12"/>
    </row>
    <row r="94" spans="3:5">
      <c r="C94" s="12"/>
    </row>
    <row r="95" spans="3:5">
      <c r="C95" s="12"/>
    </row>
    <row r="96" spans="3:5">
      <c r="C96" s="12"/>
    </row>
    <row r="97" spans="3:3">
      <c r="C97" s="12"/>
    </row>
    <row r="98" spans="3:3">
      <c r="C98" s="12"/>
    </row>
    <row r="99" spans="3:3">
      <c r="C99" s="12"/>
    </row>
    <row r="100" spans="3:3">
      <c r="C100" s="12"/>
    </row>
    <row r="101" spans="3:3">
      <c r="C101" s="12"/>
    </row>
    <row r="102" spans="3:3">
      <c r="C102" s="12"/>
    </row>
    <row r="103" spans="3:3">
      <c r="C103" s="12"/>
    </row>
    <row r="104" spans="3:3">
      <c r="C104" s="12"/>
    </row>
    <row r="105" spans="3:3">
      <c r="C105" s="12"/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C1FE54-5241-4EDC-8539-E8BDF3481B66}">
  <dimension ref="A1:G105"/>
  <sheetViews>
    <sheetView topLeftCell="A55" workbookViewId="0">
      <selection activeCell="C75" sqref="C75"/>
    </sheetView>
  </sheetViews>
  <sheetFormatPr defaultRowHeight="15"/>
  <cols>
    <col min="1" max="1" width="25.28515625" bestFit="1" customWidth="1"/>
    <col min="2" max="3" width="17.42578125" bestFit="1" customWidth="1"/>
    <col min="5" max="5" width="22.28515625" style="3" bestFit="1" customWidth="1"/>
    <col min="6" max="7" width="14.28515625" bestFit="1" customWidth="1"/>
  </cols>
  <sheetData>
    <row r="1" spans="1:7">
      <c r="A1" s="1" t="s">
        <v>6</v>
      </c>
      <c r="B1" s="1" t="s">
        <v>11</v>
      </c>
      <c r="C1" s="1" t="s">
        <v>7</v>
      </c>
      <c r="E1" s="2" t="s">
        <v>8</v>
      </c>
      <c r="F1" s="1" t="s">
        <v>10</v>
      </c>
      <c r="G1" s="1" t="s">
        <v>9</v>
      </c>
    </row>
    <row r="2" spans="1:7" ht="15.75">
      <c r="A2" s="3">
        <v>45662</v>
      </c>
      <c r="B2" s="9">
        <v>624</v>
      </c>
      <c r="C2">
        <v>615</v>
      </c>
      <c r="E2" s="3">
        <v>45662</v>
      </c>
      <c r="F2">
        <v>0.97799999999999998</v>
      </c>
      <c r="G2">
        <v>0.95940000000000003</v>
      </c>
    </row>
    <row r="3" spans="1:7" ht="15.75">
      <c r="A3" s="3">
        <v>45669</v>
      </c>
      <c r="B3" s="9">
        <v>879</v>
      </c>
      <c r="C3">
        <v>686</v>
      </c>
      <c r="E3" s="3">
        <v>45669</v>
      </c>
      <c r="F3">
        <v>0.9909</v>
      </c>
      <c r="G3">
        <v>0.9899</v>
      </c>
    </row>
    <row r="4" spans="1:7" ht="15.75">
      <c r="A4" s="3">
        <v>45676</v>
      </c>
      <c r="B4" s="9">
        <v>1002</v>
      </c>
      <c r="C4">
        <v>733</v>
      </c>
      <c r="E4" s="3">
        <v>45676</v>
      </c>
      <c r="F4">
        <v>0.98699999999999999</v>
      </c>
      <c r="G4">
        <v>0.97989999999999999</v>
      </c>
    </row>
    <row r="5" spans="1:7" ht="15.75">
      <c r="A5" s="3">
        <v>45683</v>
      </c>
      <c r="B5" s="9">
        <v>1191</v>
      </c>
      <c r="C5">
        <v>845</v>
      </c>
      <c r="E5" s="3">
        <v>45683</v>
      </c>
      <c r="F5">
        <v>0.98019999999999996</v>
      </c>
      <c r="G5">
        <v>0.98</v>
      </c>
    </row>
    <row r="6" spans="1:7" ht="15.75">
      <c r="A6" s="3">
        <v>45690</v>
      </c>
      <c r="B6" s="9">
        <v>1128</v>
      </c>
      <c r="C6">
        <v>1038</v>
      </c>
      <c r="E6" s="3">
        <v>45690</v>
      </c>
      <c r="F6">
        <v>0.98599999999999999</v>
      </c>
      <c r="G6">
        <v>0.97460000000000002</v>
      </c>
    </row>
    <row r="7" spans="1:7" ht="15.75">
      <c r="A7" s="3">
        <v>45697</v>
      </c>
      <c r="B7" s="9">
        <v>1119</v>
      </c>
      <c r="C7">
        <v>802</v>
      </c>
      <c r="E7" s="3">
        <v>45697</v>
      </c>
      <c r="F7">
        <v>0.98409999999999997</v>
      </c>
      <c r="G7">
        <v>0.97330000000000005</v>
      </c>
    </row>
    <row r="8" spans="1:7" ht="15.75">
      <c r="A8" s="3">
        <v>45704</v>
      </c>
      <c r="B8" s="9">
        <v>1210</v>
      </c>
      <c r="C8">
        <v>794</v>
      </c>
      <c r="E8" s="3">
        <v>45704</v>
      </c>
      <c r="F8">
        <v>0.97599999999999998</v>
      </c>
      <c r="G8">
        <v>0.98629999999999995</v>
      </c>
    </row>
    <row r="9" spans="1:7" ht="15.75">
      <c r="A9" s="3">
        <v>45711</v>
      </c>
      <c r="B9" s="9">
        <v>1042</v>
      </c>
      <c r="C9">
        <v>703</v>
      </c>
      <c r="E9" s="3">
        <v>45711</v>
      </c>
      <c r="F9">
        <v>0.96129999999999993</v>
      </c>
      <c r="G9">
        <v>0.98870000000000002</v>
      </c>
    </row>
    <row r="10" spans="1:7" ht="15.75">
      <c r="A10" s="3">
        <v>45718</v>
      </c>
      <c r="B10" s="9">
        <v>1463</v>
      </c>
      <c r="C10">
        <v>986</v>
      </c>
      <c r="E10" s="3">
        <v>45718</v>
      </c>
      <c r="F10">
        <v>0.85400000000000009</v>
      </c>
      <c r="G10">
        <v>0.97619999999999996</v>
      </c>
    </row>
    <row r="11" spans="1:7" ht="15.75">
      <c r="A11" s="3">
        <v>45725</v>
      </c>
      <c r="B11" s="9">
        <v>1625</v>
      </c>
      <c r="C11">
        <v>864</v>
      </c>
      <c r="E11" s="3">
        <v>45725</v>
      </c>
      <c r="F11">
        <v>0.73239999999999994</v>
      </c>
      <c r="G11">
        <v>0.98180000000000001</v>
      </c>
    </row>
    <row r="12" spans="1:7" ht="15.75">
      <c r="A12" s="3">
        <v>45732</v>
      </c>
      <c r="B12" s="9">
        <v>1565</v>
      </c>
      <c r="C12">
        <v>781</v>
      </c>
      <c r="E12" s="3">
        <v>45732</v>
      </c>
      <c r="F12">
        <v>0.86900000000000011</v>
      </c>
      <c r="G12">
        <v>0.98360000000000003</v>
      </c>
    </row>
    <row r="13" spans="1:7" ht="15.75">
      <c r="A13" s="3">
        <v>45739</v>
      </c>
      <c r="B13" s="9">
        <v>1307</v>
      </c>
      <c r="C13">
        <v>1010</v>
      </c>
      <c r="E13" s="3">
        <v>45739</v>
      </c>
      <c r="F13">
        <v>0.91520000000000001</v>
      </c>
      <c r="G13">
        <v>0.95730000000000004</v>
      </c>
    </row>
    <row r="14" spans="1:7" ht="15.75">
      <c r="A14" s="3">
        <v>45746</v>
      </c>
      <c r="B14" s="9">
        <v>1191</v>
      </c>
      <c r="C14">
        <v>901</v>
      </c>
      <c r="E14" s="3">
        <v>45746</v>
      </c>
      <c r="F14">
        <v>0.94069999999999998</v>
      </c>
      <c r="G14">
        <v>0.97409999999999997</v>
      </c>
    </row>
    <row r="15" spans="1:7" ht="15.75">
      <c r="A15" s="3">
        <v>45753</v>
      </c>
      <c r="B15" s="9">
        <v>983</v>
      </c>
      <c r="C15">
        <v>875</v>
      </c>
      <c r="E15" s="3">
        <v>45753</v>
      </c>
      <c r="F15">
        <v>0.95069999999999988</v>
      </c>
      <c r="G15">
        <v>0.97550000000000003</v>
      </c>
    </row>
    <row r="16" spans="1:7" ht="15.75">
      <c r="A16" s="3">
        <v>45760</v>
      </c>
      <c r="B16" s="9">
        <v>1366</v>
      </c>
      <c r="C16">
        <v>845</v>
      </c>
      <c r="E16" s="3">
        <v>45760</v>
      </c>
      <c r="F16">
        <v>0.92299999999999993</v>
      </c>
      <c r="G16">
        <v>0.95369999999999999</v>
      </c>
    </row>
    <row r="17" spans="1:7" ht="15.75">
      <c r="A17" s="3">
        <v>45767</v>
      </c>
      <c r="B17" s="9">
        <v>1118</v>
      </c>
      <c r="C17">
        <v>728</v>
      </c>
      <c r="E17" s="3">
        <v>45767</v>
      </c>
      <c r="F17">
        <v>0.97040000000000004</v>
      </c>
      <c r="G17">
        <v>0.96419999999999995</v>
      </c>
    </row>
    <row r="18" spans="1:7" ht="15.75">
      <c r="A18" s="3">
        <v>45774</v>
      </c>
      <c r="B18" s="9">
        <v>1290</v>
      </c>
      <c r="C18">
        <v>1036</v>
      </c>
      <c r="E18" s="3">
        <v>45774</v>
      </c>
      <c r="F18">
        <v>0.9484999999999999</v>
      </c>
      <c r="G18">
        <v>0.93930000000000002</v>
      </c>
    </row>
    <row r="19" spans="1:7" ht="15.75">
      <c r="A19" s="3">
        <v>45781</v>
      </c>
      <c r="B19" s="9">
        <v>1314</v>
      </c>
      <c r="C19">
        <v>951</v>
      </c>
      <c r="E19" s="3">
        <v>45781</v>
      </c>
      <c r="F19">
        <v>0.96189999999999998</v>
      </c>
      <c r="G19">
        <v>0.94069999999999998</v>
      </c>
    </row>
    <row r="20" spans="1:7" ht="15.75">
      <c r="A20" s="3">
        <v>45788</v>
      </c>
      <c r="B20" s="9">
        <v>1492</v>
      </c>
      <c r="C20">
        <v>939</v>
      </c>
      <c r="E20" s="3">
        <v>45788</v>
      </c>
      <c r="F20">
        <v>0.93430000000000002</v>
      </c>
      <c r="G20">
        <v>0.96</v>
      </c>
    </row>
    <row r="21" spans="1:7" ht="15.75">
      <c r="A21" s="3">
        <v>45795</v>
      </c>
      <c r="B21" s="9">
        <v>1232</v>
      </c>
      <c r="C21">
        <v>897</v>
      </c>
      <c r="E21" s="3">
        <v>45795</v>
      </c>
      <c r="F21">
        <v>0.9376000000000001</v>
      </c>
      <c r="G21">
        <v>0.93989999999999996</v>
      </c>
    </row>
    <row r="22" spans="1:7" ht="15.75">
      <c r="A22" s="3">
        <v>45802</v>
      </c>
      <c r="B22" s="9">
        <v>1128</v>
      </c>
      <c r="C22">
        <v>885</v>
      </c>
      <c r="E22" s="3">
        <v>45802</v>
      </c>
      <c r="F22">
        <v>0.96739999999999993</v>
      </c>
      <c r="G22">
        <v>0.95679999999999998</v>
      </c>
    </row>
    <row r="23" spans="1:7" ht="15.75">
      <c r="A23" s="3">
        <v>45809</v>
      </c>
      <c r="B23" s="9">
        <v>941</v>
      </c>
      <c r="C23">
        <v>688</v>
      </c>
      <c r="E23" s="3">
        <v>45809</v>
      </c>
      <c r="F23">
        <v>0.97209999999999996</v>
      </c>
      <c r="G23">
        <v>0.96899999999999997</v>
      </c>
    </row>
    <row r="24" spans="1:7" ht="15.75">
      <c r="A24" s="3">
        <v>45816</v>
      </c>
      <c r="B24" s="9">
        <v>1315</v>
      </c>
      <c r="C24">
        <v>884</v>
      </c>
      <c r="E24" s="3">
        <v>45816</v>
      </c>
      <c r="F24">
        <v>0.9556</v>
      </c>
      <c r="G24">
        <v>0.91600000000000004</v>
      </c>
    </row>
    <row r="25" spans="1:7" ht="15.75">
      <c r="A25" s="3">
        <v>45823</v>
      </c>
      <c r="B25" s="9">
        <v>1120</v>
      </c>
      <c r="C25">
        <v>745</v>
      </c>
      <c r="E25" s="3">
        <v>45823</v>
      </c>
      <c r="F25">
        <v>0.95799999999999996</v>
      </c>
      <c r="G25">
        <v>0.92430000000000001</v>
      </c>
    </row>
    <row r="26" spans="1:7" ht="15.75">
      <c r="A26" s="3">
        <v>45830</v>
      </c>
      <c r="B26" s="9">
        <v>1085</v>
      </c>
      <c r="C26">
        <v>668</v>
      </c>
      <c r="E26" s="3">
        <v>45830</v>
      </c>
      <c r="F26">
        <v>0.97049999999999992</v>
      </c>
      <c r="G26">
        <v>0.96389999999999998</v>
      </c>
    </row>
    <row r="27" spans="1:7" ht="15.75">
      <c r="A27" s="3">
        <v>45837</v>
      </c>
      <c r="B27" s="9">
        <v>1202</v>
      </c>
      <c r="C27">
        <v>763</v>
      </c>
      <c r="E27" s="3">
        <v>45837</v>
      </c>
      <c r="F27">
        <v>0.94940000000000002</v>
      </c>
      <c r="G27">
        <v>0.96460000000000001</v>
      </c>
    </row>
    <row r="28" spans="1:7" ht="15.75">
      <c r="A28" s="3">
        <v>45844</v>
      </c>
      <c r="B28" s="9">
        <v>903</v>
      </c>
      <c r="C28">
        <v>497</v>
      </c>
      <c r="E28" s="3">
        <v>45844</v>
      </c>
      <c r="F28">
        <v>0.94950000000000001</v>
      </c>
      <c r="G28">
        <v>0.97829999999999995</v>
      </c>
    </row>
    <row r="29" spans="1:7" ht="15.75">
      <c r="A29" s="3">
        <v>45851</v>
      </c>
      <c r="B29" s="9">
        <v>931</v>
      </c>
      <c r="C29">
        <v>594</v>
      </c>
      <c r="E29" s="3">
        <v>45851</v>
      </c>
      <c r="F29">
        <v>0.96779999999999999</v>
      </c>
      <c r="G29">
        <v>0.9738</v>
      </c>
    </row>
    <row r="30" spans="1:7" ht="15.75">
      <c r="A30" s="3">
        <v>45858</v>
      </c>
      <c r="B30" s="9">
        <v>1106</v>
      </c>
      <c r="C30">
        <v>693</v>
      </c>
      <c r="E30" s="3">
        <v>45858</v>
      </c>
      <c r="F30">
        <v>0.97099999999999997</v>
      </c>
      <c r="G30">
        <v>0.97460000000000002</v>
      </c>
    </row>
    <row r="31" spans="1:7" ht="15.75">
      <c r="A31" s="3">
        <v>45865</v>
      </c>
      <c r="B31" s="9">
        <v>1005</v>
      </c>
      <c r="C31">
        <v>651</v>
      </c>
      <c r="E31" s="3">
        <v>45865</v>
      </c>
      <c r="F31">
        <v>0.93569999999999998</v>
      </c>
      <c r="G31">
        <v>0.97160000000000002</v>
      </c>
    </row>
    <row r="32" spans="1:7" ht="15.75">
      <c r="A32" s="3">
        <v>45872</v>
      </c>
      <c r="B32" s="9">
        <v>1021</v>
      </c>
      <c r="C32">
        <v>633</v>
      </c>
      <c r="E32" s="3">
        <v>45872</v>
      </c>
      <c r="F32">
        <v>0.97329999999999994</v>
      </c>
      <c r="G32">
        <v>0.95909999999999995</v>
      </c>
    </row>
    <row r="33" spans="1:7" ht="15.75">
      <c r="A33" s="3">
        <v>45879</v>
      </c>
      <c r="B33" s="9">
        <v>1005</v>
      </c>
      <c r="C33">
        <v>839</v>
      </c>
      <c r="E33" s="3">
        <v>45879</v>
      </c>
      <c r="F33">
        <v>0.93579999999999997</v>
      </c>
      <c r="G33">
        <v>0.86850000000000005</v>
      </c>
    </row>
    <row r="34" spans="1:7" ht="15.75">
      <c r="A34" s="3">
        <v>45886</v>
      </c>
      <c r="B34" s="9">
        <v>1233</v>
      </c>
      <c r="C34">
        <v>978</v>
      </c>
      <c r="E34" s="3">
        <v>45886</v>
      </c>
      <c r="F34">
        <v>0.95499999999999996</v>
      </c>
      <c r="G34">
        <v>0.9395</v>
      </c>
    </row>
    <row r="35" spans="1:7" ht="15.75">
      <c r="A35" s="3">
        <v>45893</v>
      </c>
      <c r="B35" s="9">
        <v>1519</v>
      </c>
      <c r="C35">
        <v>800</v>
      </c>
      <c r="E35" s="3">
        <v>45893</v>
      </c>
      <c r="F35">
        <v>0.79949999999999999</v>
      </c>
      <c r="G35">
        <v>0.95920000000000005</v>
      </c>
    </row>
    <row r="36" spans="1:7" ht="15.75">
      <c r="A36" s="3">
        <v>45900</v>
      </c>
      <c r="B36" s="9">
        <v>1277</v>
      </c>
      <c r="C36">
        <v>756</v>
      </c>
      <c r="E36" s="3">
        <v>45900</v>
      </c>
      <c r="F36">
        <v>0.89300000000000002</v>
      </c>
      <c r="G36">
        <v>0.97289999999999999</v>
      </c>
    </row>
    <row r="37" spans="1:7" ht="15.75">
      <c r="A37" s="3">
        <v>45907</v>
      </c>
      <c r="B37" s="9">
        <v>1110</v>
      </c>
      <c r="C37">
        <v>896</v>
      </c>
      <c r="E37" s="3">
        <v>45907</v>
      </c>
      <c r="F37">
        <v>0.94629999999999992</v>
      </c>
      <c r="G37">
        <v>0.92749999999999999</v>
      </c>
    </row>
    <row r="38" spans="1:7" ht="15.75">
      <c r="A38" s="3">
        <v>45914</v>
      </c>
      <c r="B38" s="9">
        <v>1731</v>
      </c>
      <c r="C38">
        <v>1039</v>
      </c>
      <c r="E38" s="3">
        <v>45914</v>
      </c>
      <c r="F38">
        <v>0.91299999999999992</v>
      </c>
      <c r="G38">
        <v>0.92679999999999996</v>
      </c>
    </row>
    <row r="39" spans="1:7" ht="15.75">
      <c r="A39" s="3">
        <v>45921</v>
      </c>
      <c r="B39" s="9">
        <v>1271</v>
      </c>
      <c r="C39">
        <v>1221</v>
      </c>
      <c r="E39" s="3">
        <v>45921</v>
      </c>
      <c r="F39">
        <v>0.94569999999999999</v>
      </c>
      <c r="G39">
        <v>0.89119999999999999</v>
      </c>
    </row>
    <row r="40" spans="1:7" ht="15.75">
      <c r="A40" s="3">
        <v>45928</v>
      </c>
      <c r="B40" s="9">
        <v>1373</v>
      </c>
      <c r="C40">
        <v>925</v>
      </c>
      <c r="E40" s="3">
        <v>45928</v>
      </c>
      <c r="F40">
        <v>0.93</v>
      </c>
      <c r="G40">
        <v>0.93049999999999999</v>
      </c>
    </row>
    <row r="41" spans="1:7" ht="15.75">
      <c r="A41" s="3">
        <v>45935</v>
      </c>
      <c r="B41" s="9">
        <v>1263</v>
      </c>
      <c r="C41">
        <v>969</v>
      </c>
      <c r="E41" s="3">
        <v>45935</v>
      </c>
      <c r="F41">
        <v>0.94389999999999996</v>
      </c>
      <c r="G41">
        <v>0.9264</v>
      </c>
    </row>
    <row r="42" spans="1:7" ht="15.75">
      <c r="A42" s="3">
        <v>45942</v>
      </c>
      <c r="B42" s="9">
        <v>1239</v>
      </c>
      <c r="C42">
        <v>927</v>
      </c>
      <c r="E42" s="3">
        <v>45942</v>
      </c>
      <c r="F42">
        <v>0.94720000000000004</v>
      </c>
      <c r="G42">
        <v>0.94020000000000004</v>
      </c>
    </row>
    <row r="43" spans="1:7" ht="15.75">
      <c r="A43" s="3">
        <v>45949</v>
      </c>
      <c r="B43" s="10">
        <v>1394</v>
      </c>
      <c r="C43">
        <v>1140</v>
      </c>
      <c r="E43" s="3">
        <v>45949</v>
      </c>
      <c r="F43">
        <v>0.93559999999999999</v>
      </c>
      <c r="G43">
        <v>0.88719999999999999</v>
      </c>
    </row>
    <row r="44" spans="1:7" ht="15.75">
      <c r="A44" s="3">
        <v>45956</v>
      </c>
      <c r="B44" s="9">
        <v>1504</v>
      </c>
      <c r="C44">
        <v>913</v>
      </c>
      <c r="E44" s="3">
        <v>45956</v>
      </c>
      <c r="F44">
        <v>0.9153</v>
      </c>
      <c r="G44">
        <v>0.95099999999999996</v>
      </c>
    </row>
    <row r="45" spans="1:7" ht="15.75">
      <c r="A45" s="3">
        <v>45963</v>
      </c>
      <c r="B45" s="9">
        <v>1398</v>
      </c>
      <c r="C45">
        <v>946</v>
      </c>
      <c r="E45" s="3">
        <v>45963</v>
      </c>
      <c r="F45">
        <v>0.92090000000000005</v>
      </c>
      <c r="G45">
        <v>0.95069999999999999</v>
      </c>
    </row>
    <row r="46" spans="1:7" ht="15.75">
      <c r="A46" s="3">
        <v>45970</v>
      </c>
      <c r="B46" s="9">
        <v>1397</v>
      </c>
      <c r="C46">
        <v>1021</v>
      </c>
      <c r="E46" s="3">
        <v>45970</v>
      </c>
      <c r="F46">
        <v>0.93</v>
      </c>
      <c r="G46">
        <v>0.95689999999999997</v>
      </c>
    </row>
    <row r="47" spans="1:7" ht="15.75">
      <c r="A47" s="3">
        <v>45977</v>
      </c>
      <c r="B47" s="9">
        <v>1241</v>
      </c>
      <c r="C47">
        <v>1174</v>
      </c>
      <c r="E47" s="3">
        <v>45977</v>
      </c>
      <c r="F47">
        <v>0.96879999999999999</v>
      </c>
      <c r="G47">
        <v>0.87290000000000001</v>
      </c>
    </row>
    <row r="48" spans="1:7" ht="15.75">
      <c r="A48" s="3">
        <v>45984</v>
      </c>
      <c r="B48" s="9">
        <v>1950</v>
      </c>
      <c r="C48">
        <v>1148</v>
      </c>
      <c r="E48" s="3">
        <v>45984</v>
      </c>
      <c r="F48">
        <v>0.84950000000000003</v>
      </c>
      <c r="G48">
        <v>0.95269999999999999</v>
      </c>
    </row>
    <row r="49" spans="1:7" ht="15.75">
      <c r="A49" s="3">
        <v>45991</v>
      </c>
      <c r="B49" s="11">
        <v>799</v>
      </c>
      <c r="C49">
        <v>574</v>
      </c>
      <c r="E49" s="3">
        <v>45991</v>
      </c>
      <c r="F49">
        <v>0.97319999999999995</v>
      </c>
      <c r="G49">
        <v>0.97119999999999995</v>
      </c>
    </row>
    <row r="50" spans="1:7" ht="15.75">
      <c r="A50" s="3">
        <v>45998</v>
      </c>
      <c r="B50" s="11">
        <v>1628</v>
      </c>
      <c r="C50">
        <v>1148</v>
      </c>
      <c r="E50" s="3">
        <v>45998</v>
      </c>
      <c r="F50">
        <v>0.92079999999999995</v>
      </c>
      <c r="G50">
        <v>0.95509999999999995</v>
      </c>
    </row>
    <row r="51" spans="1:7" ht="15.75">
      <c r="A51" s="3">
        <v>46005</v>
      </c>
      <c r="B51" s="11">
        <v>1566</v>
      </c>
      <c r="C51">
        <v>1328</v>
      </c>
      <c r="E51" s="3">
        <v>46005</v>
      </c>
      <c r="F51">
        <v>0.91149999999999998</v>
      </c>
      <c r="G51">
        <v>0.91969999999999996</v>
      </c>
    </row>
    <row r="52" spans="1:7" ht="15.75">
      <c r="A52" s="3">
        <v>46012</v>
      </c>
      <c r="B52" s="9">
        <v>918</v>
      </c>
      <c r="C52">
        <v>893</v>
      </c>
      <c r="E52" s="3">
        <v>46012</v>
      </c>
      <c r="F52">
        <v>0.96930000000000005</v>
      </c>
      <c r="G52">
        <v>0.96120000000000005</v>
      </c>
    </row>
    <row r="53" spans="1:7" ht="15.75">
      <c r="A53" s="3">
        <v>46019</v>
      </c>
      <c r="B53" s="9">
        <v>450</v>
      </c>
      <c r="C53">
        <v>441</v>
      </c>
      <c r="E53" s="3">
        <v>46019</v>
      </c>
      <c r="F53">
        <v>0.98580000000000001</v>
      </c>
      <c r="G53">
        <v>0.95450000000000002</v>
      </c>
    </row>
    <row r="54" spans="1:7">
      <c r="A54" s="3">
        <v>46026</v>
      </c>
      <c r="B54">
        <v>615</v>
      </c>
      <c r="C54">
        <v>539</v>
      </c>
      <c r="E54" s="3">
        <v>46026</v>
      </c>
      <c r="F54">
        <v>0.95940000000000003</v>
      </c>
      <c r="G54">
        <v>0.8528</v>
      </c>
    </row>
    <row r="55" spans="1:7">
      <c r="A55" s="3">
        <v>46033</v>
      </c>
      <c r="B55">
        <v>686</v>
      </c>
      <c r="C55">
        <v>529</v>
      </c>
      <c r="E55" s="3">
        <v>46033</v>
      </c>
      <c r="F55">
        <v>0.9899</v>
      </c>
      <c r="G55">
        <v>0.98880000000000001</v>
      </c>
    </row>
    <row r="56" spans="1:7">
      <c r="A56" s="3">
        <v>46040</v>
      </c>
      <c r="B56">
        <v>733</v>
      </c>
      <c r="C56">
        <v>802</v>
      </c>
      <c r="E56" s="3">
        <v>46040</v>
      </c>
      <c r="F56">
        <v>0.97989999999999999</v>
      </c>
      <c r="G56">
        <v>0.98160000000000003</v>
      </c>
    </row>
    <row r="57" spans="1:7">
      <c r="A57" s="3">
        <v>46047</v>
      </c>
      <c r="B57">
        <v>845</v>
      </c>
      <c r="C57">
        <v>780</v>
      </c>
      <c r="E57" s="3">
        <v>46047</v>
      </c>
      <c r="F57">
        <v>0.98</v>
      </c>
      <c r="G57">
        <v>0.96179999999999999</v>
      </c>
    </row>
    <row r="58" spans="1:7">
      <c r="A58" s="3">
        <v>46054</v>
      </c>
      <c r="B58">
        <v>1038</v>
      </c>
      <c r="C58">
        <v>708</v>
      </c>
      <c r="E58" s="3">
        <v>46054</v>
      </c>
      <c r="F58">
        <v>0.97460000000000002</v>
      </c>
      <c r="G58">
        <v>0.9607</v>
      </c>
    </row>
    <row r="59" spans="1:7">
      <c r="A59" s="3">
        <v>46061</v>
      </c>
      <c r="B59">
        <v>802</v>
      </c>
      <c r="C59">
        <v>665</v>
      </c>
      <c r="E59" s="3">
        <v>46061</v>
      </c>
      <c r="F59">
        <v>0.97330000000000005</v>
      </c>
      <c r="G59">
        <v>0.72919999999999996</v>
      </c>
    </row>
    <row r="60" spans="1:7">
      <c r="A60" s="3">
        <v>46068</v>
      </c>
      <c r="B60">
        <v>794</v>
      </c>
      <c r="C60">
        <v>729</v>
      </c>
      <c r="E60" s="3">
        <v>46068</v>
      </c>
      <c r="F60">
        <v>0.98629999999999995</v>
      </c>
      <c r="G60">
        <v>0.88790000000000002</v>
      </c>
    </row>
    <row r="61" spans="1:7">
      <c r="A61" s="3">
        <v>46075</v>
      </c>
      <c r="B61">
        <v>703</v>
      </c>
      <c r="C61">
        <v>751</v>
      </c>
      <c r="E61" s="3">
        <v>46075</v>
      </c>
      <c r="F61">
        <v>0.98870000000000002</v>
      </c>
      <c r="G61">
        <v>0.94350000000000001</v>
      </c>
    </row>
    <row r="62" spans="1:7">
      <c r="A62" s="3">
        <v>46082</v>
      </c>
      <c r="B62">
        <v>986</v>
      </c>
      <c r="C62">
        <v>966</v>
      </c>
      <c r="E62" s="3">
        <v>46082</v>
      </c>
      <c r="F62">
        <v>0.97619999999999996</v>
      </c>
      <c r="G62">
        <v>0.9113</v>
      </c>
    </row>
    <row r="63" spans="1:7">
      <c r="A63" s="3">
        <v>46089</v>
      </c>
      <c r="B63">
        <v>864</v>
      </c>
      <c r="C63">
        <v>1120</v>
      </c>
      <c r="E63" s="3">
        <v>46089</v>
      </c>
      <c r="F63">
        <v>0.98180000000000001</v>
      </c>
      <c r="G63">
        <v>0.81930000000000003</v>
      </c>
    </row>
    <row r="64" spans="1:7">
      <c r="A64" s="3">
        <v>46096</v>
      </c>
      <c r="B64">
        <v>781</v>
      </c>
      <c r="C64">
        <v>1158</v>
      </c>
      <c r="E64" s="3">
        <v>46096</v>
      </c>
      <c r="F64">
        <v>0.98360000000000003</v>
      </c>
      <c r="G64">
        <v>0.85150000000000003</v>
      </c>
    </row>
    <row r="65" spans="1:7">
      <c r="A65" s="3">
        <v>46103</v>
      </c>
      <c r="B65">
        <v>1010</v>
      </c>
      <c r="C65">
        <v>741</v>
      </c>
      <c r="E65" s="3">
        <v>46103</v>
      </c>
      <c r="F65">
        <v>0.95730000000000004</v>
      </c>
      <c r="G65">
        <v>0.87180000000000002</v>
      </c>
    </row>
    <row r="66" spans="1:7">
      <c r="A66" s="3">
        <v>46110</v>
      </c>
      <c r="B66">
        <v>901</v>
      </c>
      <c r="C66">
        <v>834</v>
      </c>
      <c r="E66" s="3">
        <v>46110</v>
      </c>
      <c r="F66">
        <v>0.97409999999999997</v>
      </c>
      <c r="G66">
        <v>0.92869999999999997</v>
      </c>
    </row>
    <row r="67" spans="1:7">
      <c r="A67" s="3">
        <v>46117</v>
      </c>
      <c r="B67">
        <v>875</v>
      </c>
      <c r="C67">
        <v>728</v>
      </c>
      <c r="E67" s="3">
        <v>46117</v>
      </c>
      <c r="F67">
        <v>0.97550000000000003</v>
      </c>
      <c r="G67">
        <v>0.83109999999999995</v>
      </c>
    </row>
    <row r="68" spans="1:7">
      <c r="A68" s="3">
        <v>46124</v>
      </c>
      <c r="B68">
        <v>845</v>
      </c>
      <c r="C68">
        <v>872</v>
      </c>
      <c r="E68" s="3">
        <v>46124</v>
      </c>
      <c r="F68">
        <v>0.95369999999999999</v>
      </c>
      <c r="G68">
        <v>0.86499999999999999</v>
      </c>
    </row>
    <row r="69" spans="1:7">
      <c r="A69" s="3">
        <v>46131</v>
      </c>
      <c r="B69">
        <v>728</v>
      </c>
      <c r="C69">
        <v>850</v>
      </c>
      <c r="E69" s="3">
        <v>46131</v>
      </c>
      <c r="F69">
        <v>0.96419999999999995</v>
      </c>
      <c r="G69">
        <v>0.84409999999999996</v>
      </c>
    </row>
    <row r="70" spans="1:7">
      <c r="A70" s="3">
        <v>46138</v>
      </c>
      <c r="B70">
        <v>1036</v>
      </c>
      <c r="C70">
        <v>954</v>
      </c>
      <c r="E70" s="3">
        <v>46138</v>
      </c>
      <c r="F70">
        <v>0.93930000000000002</v>
      </c>
      <c r="G70">
        <v>0.91300000000000003</v>
      </c>
    </row>
    <row r="71" spans="1:7">
      <c r="A71" s="3">
        <v>46145</v>
      </c>
      <c r="B71">
        <v>951</v>
      </c>
      <c r="C71">
        <v>962</v>
      </c>
      <c r="E71" s="3">
        <v>46145</v>
      </c>
      <c r="F71">
        <v>0.94069999999999998</v>
      </c>
      <c r="G71">
        <v>0.91439999999999999</v>
      </c>
    </row>
    <row r="72" spans="1:7">
      <c r="A72" s="3">
        <v>46152</v>
      </c>
      <c r="B72">
        <v>939</v>
      </c>
      <c r="C72">
        <v>870</v>
      </c>
      <c r="E72" s="3">
        <v>46152</v>
      </c>
      <c r="F72">
        <v>0.96</v>
      </c>
      <c r="G72">
        <v>0.89229999999999998</v>
      </c>
    </row>
    <row r="73" spans="1:7">
      <c r="A73" s="3">
        <v>46159</v>
      </c>
      <c r="B73">
        <v>897</v>
      </c>
      <c r="C73">
        <v>944</v>
      </c>
      <c r="E73" s="3">
        <v>46159</v>
      </c>
      <c r="F73">
        <v>0.93989999999999996</v>
      </c>
      <c r="G73">
        <v>0.88390000000000002</v>
      </c>
    </row>
    <row r="74" spans="1:7">
      <c r="A74" s="3">
        <v>46166</v>
      </c>
      <c r="B74">
        <v>885</v>
      </c>
      <c r="C74">
        <v>814</v>
      </c>
      <c r="E74" s="3">
        <v>46166</v>
      </c>
      <c r="F74">
        <v>0.95679999999999998</v>
      </c>
      <c r="G74">
        <v>0.95320000000000005</v>
      </c>
    </row>
    <row r="75" spans="1:7">
      <c r="A75" s="3">
        <v>46173</v>
      </c>
      <c r="B75">
        <v>688</v>
      </c>
      <c r="F75">
        <v>0.96899999999999997</v>
      </c>
    </row>
    <row r="76" spans="1:7">
      <c r="A76" s="3">
        <v>46180</v>
      </c>
      <c r="B76">
        <v>884</v>
      </c>
      <c r="F76">
        <v>0.91600000000000004</v>
      </c>
    </row>
    <row r="77" spans="1:7">
      <c r="A77" s="3">
        <v>46187</v>
      </c>
      <c r="B77">
        <v>745</v>
      </c>
      <c r="F77">
        <v>0.92430000000000001</v>
      </c>
    </row>
    <row r="78" spans="1:7">
      <c r="A78" s="3">
        <v>46194</v>
      </c>
      <c r="B78">
        <v>668</v>
      </c>
      <c r="F78">
        <v>0.96389999999999998</v>
      </c>
    </row>
    <row r="79" spans="1:7">
      <c r="B79">
        <v>763</v>
      </c>
      <c r="F79">
        <v>0.96460000000000001</v>
      </c>
    </row>
    <row r="80" spans="1:7">
      <c r="B80">
        <v>497</v>
      </c>
      <c r="F80">
        <v>0.97829999999999995</v>
      </c>
    </row>
    <row r="81" spans="2:6">
      <c r="B81">
        <v>594</v>
      </c>
      <c r="F81">
        <v>0.9738</v>
      </c>
    </row>
    <row r="82" spans="2:6">
      <c r="B82">
        <v>693</v>
      </c>
      <c r="F82">
        <v>0.97460000000000002</v>
      </c>
    </row>
    <row r="83" spans="2:6">
      <c r="B83">
        <v>651</v>
      </c>
      <c r="F83">
        <v>0.97160000000000002</v>
      </c>
    </row>
    <row r="84" spans="2:6">
      <c r="B84">
        <v>633</v>
      </c>
      <c r="F84">
        <v>0.95909999999999995</v>
      </c>
    </row>
    <row r="85" spans="2:6">
      <c r="B85">
        <v>839</v>
      </c>
      <c r="F85">
        <v>0.86850000000000005</v>
      </c>
    </row>
    <row r="86" spans="2:6">
      <c r="B86">
        <v>978</v>
      </c>
      <c r="F86">
        <v>0.9395</v>
      </c>
    </row>
    <row r="87" spans="2:6">
      <c r="B87">
        <v>800</v>
      </c>
      <c r="F87">
        <v>0.95920000000000005</v>
      </c>
    </row>
    <row r="88" spans="2:6">
      <c r="B88">
        <v>756</v>
      </c>
      <c r="F88">
        <v>0.97289999999999999</v>
      </c>
    </row>
    <row r="89" spans="2:6">
      <c r="B89">
        <v>896</v>
      </c>
      <c r="F89">
        <v>0.92749999999999999</v>
      </c>
    </row>
    <row r="90" spans="2:6">
      <c r="B90">
        <v>1039</v>
      </c>
      <c r="F90">
        <v>0.92679999999999996</v>
      </c>
    </row>
    <row r="91" spans="2:6">
      <c r="B91">
        <v>1221</v>
      </c>
      <c r="F91">
        <v>0.89119999999999999</v>
      </c>
    </row>
    <row r="92" spans="2:6">
      <c r="B92">
        <v>925</v>
      </c>
      <c r="F92">
        <v>0.93049999999999999</v>
      </c>
    </row>
    <row r="93" spans="2:6">
      <c r="B93">
        <v>969</v>
      </c>
      <c r="F93">
        <v>0.9264</v>
      </c>
    </row>
    <row r="94" spans="2:6">
      <c r="B94">
        <v>927</v>
      </c>
      <c r="F94">
        <v>0.94020000000000004</v>
      </c>
    </row>
    <row r="95" spans="2:6">
      <c r="B95">
        <v>1140</v>
      </c>
      <c r="F95">
        <v>0.88719999999999999</v>
      </c>
    </row>
    <row r="96" spans="2:6">
      <c r="B96">
        <v>913</v>
      </c>
      <c r="F96">
        <v>0.95099999999999996</v>
      </c>
    </row>
    <row r="97" spans="2:6">
      <c r="B97">
        <v>946</v>
      </c>
      <c r="F97">
        <v>0.95069999999999999</v>
      </c>
    </row>
    <row r="98" spans="2:6">
      <c r="B98">
        <v>1021</v>
      </c>
      <c r="F98">
        <v>0.95689999999999997</v>
      </c>
    </row>
    <row r="99" spans="2:6">
      <c r="B99">
        <v>1174</v>
      </c>
      <c r="F99">
        <v>0.87290000000000001</v>
      </c>
    </row>
    <row r="100" spans="2:6">
      <c r="B100">
        <v>1148</v>
      </c>
      <c r="F100">
        <v>0.95269999999999999</v>
      </c>
    </row>
    <row r="101" spans="2:6">
      <c r="B101">
        <v>574</v>
      </c>
      <c r="F101">
        <v>0.97119999999999995</v>
      </c>
    </row>
    <row r="102" spans="2:6">
      <c r="B102">
        <v>1148</v>
      </c>
      <c r="F102">
        <v>0.95509999999999995</v>
      </c>
    </row>
    <row r="103" spans="2:6">
      <c r="B103">
        <v>1328</v>
      </c>
      <c r="F103">
        <v>0.91969999999999996</v>
      </c>
    </row>
    <row r="104" spans="2:6">
      <c r="B104">
        <v>893</v>
      </c>
      <c r="F104">
        <v>0.96120000000000005</v>
      </c>
    </row>
    <row r="105" spans="2:6">
      <c r="B105">
        <v>441</v>
      </c>
      <c r="F105">
        <v>0.95450000000000002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C4474F-08DB-44F2-9F06-11762EAF8D82}">
  <dimension ref="A1:F88"/>
  <sheetViews>
    <sheetView workbookViewId="0">
      <pane ySplit="1" topLeftCell="A72" activePane="bottomLeft" state="frozen"/>
      <selection pane="bottomLeft" activeCell="B88" sqref="B88"/>
    </sheetView>
  </sheetViews>
  <sheetFormatPr defaultRowHeight="15"/>
  <cols>
    <col min="1" max="1" width="10.42578125" bestFit="1" customWidth="1"/>
    <col min="2" max="2" width="11.28515625" bestFit="1" customWidth="1"/>
    <col min="3" max="3" width="8" bestFit="1" customWidth="1"/>
    <col min="4" max="4" width="32.7109375" style="16" bestFit="1" customWidth="1"/>
    <col min="5" max="5" width="9.28515625" bestFit="1" customWidth="1"/>
    <col min="6" max="6" width="23.7109375" bestFit="1" customWidth="1"/>
  </cols>
  <sheetData>
    <row r="1" spans="1:6">
      <c r="A1" s="1" t="s">
        <v>15</v>
      </c>
      <c r="B1" s="1" t="s">
        <v>12</v>
      </c>
      <c r="C1" s="1" t="s">
        <v>13</v>
      </c>
      <c r="D1" s="14" t="s">
        <v>14</v>
      </c>
      <c r="E1" s="1" t="s">
        <v>16</v>
      </c>
      <c r="F1" s="1" t="s">
        <v>17</v>
      </c>
    </row>
    <row r="2" spans="1:6">
      <c r="A2" s="3">
        <v>45571</v>
      </c>
      <c r="B2">
        <v>2507</v>
      </c>
      <c r="C2">
        <v>476</v>
      </c>
      <c r="D2" s="15">
        <f>C2/B2*100</f>
        <v>18.986836856800956</v>
      </c>
      <c r="E2">
        <v>1757</v>
      </c>
      <c r="F2">
        <v>392</v>
      </c>
    </row>
    <row r="3" spans="1:6">
      <c r="A3" s="3">
        <v>45578</v>
      </c>
      <c r="B3">
        <v>2485</v>
      </c>
      <c r="C3">
        <v>445</v>
      </c>
      <c r="D3" s="15">
        <f t="shared" ref="D3:D66" si="0">C3/B3*100</f>
        <v>17.907444668008051</v>
      </c>
      <c r="E3">
        <v>2082</v>
      </c>
      <c r="F3">
        <v>380</v>
      </c>
    </row>
    <row r="4" spans="1:6">
      <c r="A4" s="3">
        <v>45585</v>
      </c>
      <c r="B4">
        <v>2406</v>
      </c>
      <c r="C4">
        <v>485</v>
      </c>
      <c r="D4" s="15">
        <f t="shared" si="0"/>
        <v>20.157938487115544</v>
      </c>
      <c r="E4">
        <v>1820</v>
      </c>
      <c r="F4">
        <v>303</v>
      </c>
    </row>
    <row r="5" spans="1:6">
      <c r="A5" s="3">
        <v>45592</v>
      </c>
      <c r="B5">
        <v>2178</v>
      </c>
      <c r="C5">
        <v>515</v>
      </c>
      <c r="D5" s="15">
        <f t="shared" si="0"/>
        <v>23.645546372819101</v>
      </c>
      <c r="E5">
        <v>1249</v>
      </c>
      <c r="F5">
        <v>234</v>
      </c>
    </row>
    <row r="6" spans="1:6">
      <c r="A6" s="3">
        <v>45599</v>
      </c>
      <c r="B6">
        <v>2069</v>
      </c>
      <c r="C6">
        <v>516</v>
      </c>
      <c r="D6" s="15">
        <f t="shared" si="0"/>
        <v>24.939584340260996</v>
      </c>
      <c r="E6">
        <v>957</v>
      </c>
      <c r="F6">
        <v>244</v>
      </c>
    </row>
    <row r="7" spans="1:6">
      <c r="A7" s="3">
        <v>45606</v>
      </c>
      <c r="B7">
        <v>2006</v>
      </c>
      <c r="C7">
        <v>503</v>
      </c>
      <c r="D7" s="15">
        <f t="shared" si="0"/>
        <v>25.074775672981058</v>
      </c>
      <c r="E7">
        <v>1695</v>
      </c>
      <c r="F7">
        <v>244</v>
      </c>
    </row>
    <row r="8" spans="1:6">
      <c r="A8" s="3">
        <v>45613</v>
      </c>
      <c r="B8">
        <v>1959</v>
      </c>
      <c r="C8">
        <v>455</v>
      </c>
      <c r="D8" s="15">
        <f t="shared" si="0"/>
        <v>23.226135783563041</v>
      </c>
      <c r="E8">
        <v>1694</v>
      </c>
      <c r="F8">
        <v>283</v>
      </c>
    </row>
    <row r="9" spans="1:6">
      <c r="A9" s="3">
        <v>45620</v>
      </c>
      <c r="B9">
        <v>1896</v>
      </c>
      <c r="C9">
        <v>715</v>
      </c>
      <c r="D9" s="15">
        <f t="shared" si="0"/>
        <v>37.710970464135016</v>
      </c>
      <c r="E9">
        <v>865</v>
      </c>
      <c r="F9">
        <v>235</v>
      </c>
    </row>
    <row r="10" spans="1:6">
      <c r="A10" s="3">
        <v>45627</v>
      </c>
      <c r="B10">
        <v>1908</v>
      </c>
      <c r="C10">
        <v>348</v>
      </c>
      <c r="D10" s="15">
        <f t="shared" si="0"/>
        <v>18.238993710691823</v>
      </c>
      <c r="E10">
        <v>522</v>
      </c>
      <c r="F10">
        <v>156</v>
      </c>
    </row>
    <row r="11" spans="1:6">
      <c r="A11" s="3">
        <v>45634</v>
      </c>
      <c r="B11">
        <v>1837</v>
      </c>
      <c r="C11">
        <v>661</v>
      </c>
      <c r="D11" s="15">
        <f t="shared" si="0"/>
        <v>35.98258029395754</v>
      </c>
      <c r="E11">
        <v>695</v>
      </c>
      <c r="F11">
        <v>175</v>
      </c>
    </row>
    <row r="12" spans="1:6">
      <c r="A12" s="3">
        <v>45641</v>
      </c>
      <c r="B12">
        <v>1769</v>
      </c>
      <c r="C12">
        <v>557</v>
      </c>
      <c r="D12" s="15">
        <f t="shared" si="0"/>
        <v>31.486715658564162</v>
      </c>
      <c r="E12">
        <v>323</v>
      </c>
      <c r="F12">
        <v>102</v>
      </c>
    </row>
    <row r="13" spans="1:6">
      <c r="A13" s="3">
        <v>45648</v>
      </c>
      <c r="B13">
        <v>1675</v>
      </c>
      <c r="C13">
        <v>380</v>
      </c>
      <c r="D13" s="15">
        <f t="shared" si="0"/>
        <v>22.686567164179106</v>
      </c>
      <c r="E13">
        <v>762</v>
      </c>
      <c r="F13">
        <v>211</v>
      </c>
    </row>
    <row r="14" spans="1:6">
      <c r="A14" s="3">
        <v>45655</v>
      </c>
      <c r="B14">
        <v>1590</v>
      </c>
      <c r="C14">
        <v>210</v>
      </c>
      <c r="D14" s="15">
        <f t="shared" si="0"/>
        <v>13.20754716981132</v>
      </c>
      <c r="E14" s="13">
        <v>1038</v>
      </c>
      <c r="F14">
        <v>231</v>
      </c>
    </row>
    <row r="15" spans="1:6">
      <c r="A15" s="3">
        <v>45662</v>
      </c>
      <c r="B15">
        <v>1562</v>
      </c>
      <c r="C15">
        <v>279</v>
      </c>
      <c r="D15" s="15">
        <f t="shared" si="0"/>
        <v>17.861715749039693</v>
      </c>
      <c r="E15">
        <v>991</v>
      </c>
      <c r="F15">
        <v>218</v>
      </c>
    </row>
    <row r="16" spans="1:6">
      <c r="A16" s="3">
        <v>45669</v>
      </c>
      <c r="B16">
        <v>1537</v>
      </c>
      <c r="C16">
        <v>269</v>
      </c>
      <c r="D16" s="15">
        <f t="shared" si="0"/>
        <v>17.501626545217956</v>
      </c>
      <c r="E16">
        <v>1637</v>
      </c>
      <c r="F16">
        <v>259</v>
      </c>
    </row>
    <row r="17" spans="1:6">
      <c r="A17" s="3">
        <v>45676</v>
      </c>
      <c r="B17">
        <v>1541</v>
      </c>
      <c r="C17">
        <v>272</v>
      </c>
      <c r="D17" s="15">
        <f t="shared" si="0"/>
        <v>17.650876054510061</v>
      </c>
      <c r="E17">
        <v>1756</v>
      </c>
      <c r="F17">
        <v>294</v>
      </c>
    </row>
    <row r="18" spans="1:6">
      <c r="A18" s="3">
        <v>45683</v>
      </c>
      <c r="B18">
        <v>1507</v>
      </c>
      <c r="C18">
        <v>321</v>
      </c>
      <c r="D18" s="15">
        <f t="shared" si="0"/>
        <v>21.300597213005972</v>
      </c>
      <c r="E18">
        <v>1144</v>
      </c>
      <c r="F18">
        <v>193</v>
      </c>
    </row>
    <row r="19" spans="1:6">
      <c r="A19" s="3">
        <v>45690</v>
      </c>
      <c r="B19">
        <v>1425</v>
      </c>
      <c r="C19">
        <v>413</v>
      </c>
      <c r="D19" s="15">
        <f t="shared" si="0"/>
        <v>28.982456140350877</v>
      </c>
      <c r="E19">
        <v>710</v>
      </c>
      <c r="F19">
        <v>142</v>
      </c>
    </row>
    <row r="20" spans="1:6">
      <c r="A20" s="3">
        <v>45697</v>
      </c>
      <c r="B20">
        <v>1421</v>
      </c>
      <c r="C20">
        <v>249</v>
      </c>
      <c r="D20" s="15">
        <f t="shared" si="0"/>
        <v>17.522871217452497</v>
      </c>
      <c r="E20">
        <v>1564</v>
      </c>
      <c r="F20">
        <v>265</v>
      </c>
    </row>
    <row r="21" spans="1:6">
      <c r="A21" s="3">
        <v>45704</v>
      </c>
      <c r="B21">
        <v>1292</v>
      </c>
      <c r="C21">
        <v>301</v>
      </c>
      <c r="D21" s="15">
        <f t="shared" si="0"/>
        <v>23.297213622291022</v>
      </c>
      <c r="E21">
        <v>1283</v>
      </c>
      <c r="F21">
        <v>266</v>
      </c>
    </row>
    <row r="22" spans="1:6">
      <c r="A22" s="3">
        <v>45711</v>
      </c>
      <c r="B22">
        <v>1300</v>
      </c>
      <c r="C22">
        <v>294</v>
      </c>
      <c r="D22" s="15">
        <f t="shared" si="0"/>
        <v>22.615384615384613</v>
      </c>
      <c r="E22">
        <v>1014</v>
      </c>
      <c r="F22">
        <v>196</v>
      </c>
    </row>
    <row r="23" spans="1:6">
      <c r="A23" s="3">
        <v>45718</v>
      </c>
      <c r="B23">
        <v>1330</v>
      </c>
      <c r="C23">
        <v>361</v>
      </c>
      <c r="D23" s="15">
        <f t="shared" si="0"/>
        <v>27.142857142857142</v>
      </c>
      <c r="E23">
        <v>64</v>
      </c>
      <c r="F23">
        <v>109</v>
      </c>
    </row>
    <row r="24" spans="1:6">
      <c r="A24" s="3">
        <v>45725</v>
      </c>
      <c r="B24">
        <v>1359</v>
      </c>
      <c r="C24">
        <v>361</v>
      </c>
      <c r="D24" s="15">
        <f t="shared" si="0"/>
        <v>26.563649742457692</v>
      </c>
      <c r="E24">
        <v>400</v>
      </c>
      <c r="F24">
        <v>175</v>
      </c>
    </row>
    <row r="25" spans="1:6">
      <c r="A25" s="3">
        <v>45732</v>
      </c>
      <c r="B25">
        <v>1343</v>
      </c>
      <c r="C25">
        <v>293</v>
      </c>
      <c r="D25" s="15">
        <f t="shared" si="0"/>
        <v>21.816827997021594</v>
      </c>
      <c r="E25">
        <v>500</v>
      </c>
      <c r="F25">
        <v>132</v>
      </c>
    </row>
    <row r="26" spans="1:6">
      <c r="A26" s="3">
        <v>45739</v>
      </c>
      <c r="B26">
        <v>1312</v>
      </c>
      <c r="C26">
        <v>360</v>
      </c>
      <c r="D26" s="15">
        <f t="shared" si="0"/>
        <v>27.439024390243905</v>
      </c>
      <c r="E26">
        <v>408</v>
      </c>
      <c r="F26">
        <v>170</v>
      </c>
    </row>
    <row r="27" spans="1:6">
      <c r="A27" s="3">
        <v>45746</v>
      </c>
      <c r="B27">
        <v>1333</v>
      </c>
      <c r="C27">
        <v>319</v>
      </c>
      <c r="D27" s="15">
        <f t="shared" si="0"/>
        <v>23.930982745686421</v>
      </c>
      <c r="E27">
        <v>276</v>
      </c>
      <c r="F27">
        <v>128</v>
      </c>
    </row>
    <row r="28" spans="1:6">
      <c r="A28" s="3">
        <v>45753</v>
      </c>
      <c r="B28">
        <v>1250</v>
      </c>
      <c r="C28">
        <v>340</v>
      </c>
      <c r="D28" s="15">
        <f t="shared" si="0"/>
        <v>27.200000000000003</v>
      </c>
      <c r="E28">
        <v>385</v>
      </c>
      <c r="F28">
        <v>135</v>
      </c>
    </row>
    <row r="29" spans="1:6">
      <c r="A29" s="3">
        <v>45760</v>
      </c>
      <c r="B29">
        <v>1225</v>
      </c>
      <c r="C29">
        <v>311</v>
      </c>
      <c r="D29" s="15">
        <f t="shared" si="0"/>
        <v>25.387755102040817</v>
      </c>
      <c r="E29">
        <v>575</v>
      </c>
      <c r="F29">
        <v>137</v>
      </c>
    </row>
    <row r="30" spans="1:6">
      <c r="A30" s="3">
        <v>45767</v>
      </c>
      <c r="B30">
        <v>1186</v>
      </c>
      <c r="C30">
        <v>274</v>
      </c>
      <c r="D30" s="15">
        <f t="shared" si="0"/>
        <v>23.102866779089375</v>
      </c>
      <c r="E30">
        <v>406</v>
      </c>
      <c r="F30">
        <v>158</v>
      </c>
    </row>
    <row r="31" spans="1:6">
      <c r="A31" s="3">
        <v>45774</v>
      </c>
      <c r="B31">
        <v>1156</v>
      </c>
      <c r="C31">
        <v>405</v>
      </c>
      <c r="D31" s="15">
        <f t="shared" si="0"/>
        <v>35.034602076124564</v>
      </c>
      <c r="E31">
        <v>786</v>
      </c>
      <c r="F31">
        <v>158</v>
      </c>
    </row>
    <row r="32" spans="1:6">
      <c r="A32" s="3">
        <v>45781</v>
      </c>
      <c r="B32">
        <v>1163</v>
      </c>
      <c r="C32">
        <v>384</v>
      </c>
      <c r="D32" s="15">
        <f t="shared" si="0"/>
        <v>33.018056749785039</v>
      </c>
      <c r="E32">
        <v>794</v>
      </c>
      <c r="F32">
        <v>168</v>
      </c>
    </row>
    <row r="33" spans="1:6">
      <c r="A33" s="3">
        <v>45788</v>
      </c>
      <c r="B33">
        <v>1145</v>
      </c>
      <c r="C33">
        <v>380</v>
      </c>
      <c r="D33" s="15">
        <f t="shared" si="0"/>
        <v>33.187772925764193</v>
      </c>
      <c r="E33">
        <v>923</v>
      </c>
      <c r="F33">
        <v>211</v>
      </c>
    </row>
    <row r="34" spans="1:6">
      <c r="A34" s="3">
        <v>45795</v>
      </c>
      <c r="B34">
        <v>1145</v>
      </c>
      <c r="C34">
        <v>363</v>
      </c>
      <c r="D34" s="15">
        <f t="shared" si="0"/>
        <v>31.703056768558952</v>
      </c>
      <c r="E34">
        <v>845</v>
      </c>
      <c r="F34">
        <v>189</v>
      </c>
    </row>
    <row r="35" spans="1:6">
      <c r="A35" s="3">
        <v>45802</v>
      </c>
      <c r="B35">
        <v>1134</v>
      </c>
      <c r="C35">
        <v>342</v>
      </c>
      <c r="D35" s="15">
        <f t="shared" si="0"/>
        <v>30.158730158730158</v>
      </c>
      <c r="E35">
        <v>675</v>
      </c>
      <c r="F35">
        <v>128</v>
      </c>
    </row>
    <row r="36" spans="1:6">
      <c r="A36" s="3">
        <v>45809</v>
      </c>
      <c r="B36">
        <v>1118</v>
      </c>
      <c r="C36">
        <v>293</v>
      </c>
      <c r="D36" s="15">
        <f t="shared" si="0"/>
        <v>26.207513416815743</v>
      </c>
      <c r="E36">
        <v>365</v>
      </c>
      <c r="F36">
        <v>144</v>
      </c>
    </row>
    <row r="37" spans="1:6">
      <c r="A37" s="3">
        <v>45816</v>
      </c>
      <c r="B37">
        <v>1115</v>
      </c>
      <c r="C37">
        <v>375</v>
      </c>
      <c r="D37" s="15">
        <f t="shared" si="0"/>
        <v>33.632286995515699</v>
      </c>
      <c r="E37">
        <v>780</v>
      </c>
      <c r="F37">
        <v>158</v>
      </c>
    </row>
    <row r="38" spans="1:6">
      <c r="A38" s="3">
        <v>45823</v>
      </c>
      <c r="B38">
        <v>1130</v>
      </c>
      <c r="C38">
        <v>288</v>
      </c>
      <c r="D38" s="15">
        <f t="shared" si="0"/>
        <v>25.486725663716815</v>
      </c>
      <c r="E38">
        <v>687</v>
      </c>
      <c r="F38">
        <v>194</v>
      </c>
    </row>
    <row r="39" spans="1:6">
      <c r="A39" s="3">
        <v>45830</v>
      </c>
      <c r="B39" s="13">
        <v>1105</v>
      </c>
      <c r="C39" s="13">
        <v>257</v>
      </c>
      <c r="D39" s="15">
        <f t="shared" si="0"/>
        <v>23.257918552036198</v>
      </c>
      <c r="E39" s="13">
        <v>610</v>
      </c>
      <c r="F39">
        <v>165</v>
      </c>
    </row>
    <row r="40" spans="1:6">
      <c r="A40" s="3">
        <v>45837</v>
      </c>
      <c r="B40" s="13">
        <v>1123</v>
      </c>
      <c r="C40" s="13">
        <v>273</v>
      </c>
      <c r="D40" s="15">
        <f t="shared" si="0"/>
        <v>24.309884238646482</v>
      </c>
      <c r="E40" s="13">
        <v>480</v>
      </c>
      <c r="F40">
        <v>138</v>
      </c>
    </row>
    <row r="41" spans="1:6">
      <c r="A41" s="3">
        <v>45844</v>
      </c>
      <c r="B41">
        <v>1097</v>
      </c>
      <c r="C41">
        <v>198</v>
      </c>
      <c r="D41" s="15">
        <f t="shared" si="0"/>
        <v>18.049225159525982</v>
      </c>
      <c r="E41">
        <v>364</v>
      </c>
      <c r="F41">
        <v>194</v>
      </c>
    </row>
    <row r="42" spans="1:6">
      <c r="A42" s="3">
        <v>45851</v>
      </c>
      <c r="B42">
        <v>1062</v>
      </c>
      <c r="C42">
        <v>216</v>
      </c>
      <c r="D42" s="15">
        <f t="shared" si="0"/>
        <v>20.33898305084746</v>
      </c>
      <c r="E42">
        <v>598</v>
      </c>
      <c r="F42">
        <v>174</v>
      </c>
    </row>
    <row r="43" spans="1:6">
      <c r="A43" s="3">
        <v>45858</v>
      </c>
      <c r="B43">
        <v>1047</v>
      </c>
      <c r="C43">
        <v>247</v>
      </c>
      <c r="D43" s="15">
        <f t="shared" si="0"/>
        <v>23.591212989493794</v>
      </c>
      <c r="E43">
        <v>618</v>
      </c>
      <c r="F43">
        <v>166</v>
      </c>
    </row>
    <row r="44" spans="1:6">
      <c r="A44" s="3">
        <v>45865</v>
      </c>
      <c r="B44">
        <v>1015</v>
      </c>
      <c r="C44">
        <v>215</v>
      </c>
      <c r="D44" s="15">
        <f t="shared" si="0"/>
        <v>21.182266009852217</v>
      </c>
      <c r="E44">
        <v>721</v>
      </c>
      <c r="F44">
        <v>126</v>
      </c>
    </row>
    <row r="45" spans="1:6">
      <c r="A45" s="3">
        <v>45872</v>
      </c>
      <c r="B45">
        <v>982</v>
      </c>
      <c r="C45">
        <v>214</v>
      </c>
      <c r="D45" s="15">
        <f t="shared" si="0"/>
        <v>21.792260692464357</v>
      </c>
      <c r="E45">
        <v>659</v>
      </c>
      <c r="F45">
        <v>149</v>
      </c>
    </row>
    <row r="46" spans="1:6">
      <c r="A46" s="3">
        <v>45879</v>
      </c>
      <c r="B46">
        <v>965</v>
      </c>
      <c r="C46">
        <v>356</v>
      </c>
      <c r="D46" s="15">
        <f t="shared" si="0"/>
        <v>36.891191709844563</v>
      </c>
      <c r="E46">
        <v>710</v>
      </c>
      <c r="F46">
        <v>218</v>
      </c>
    </row>
    <row r="47" spans="1:6">
      <c r="A47" s="3">
        <v>45886</v>
      </c>
      <c r="B47">
        <v>958</v>
      </c>
      <c r="C47">
        <v>387</v>
      </c>
      <c r="D47" s="15">
        <f t="shared" si="0"/>
        <v>40.396659707724424</v>
      </c>
      <c r="E47">
        <v>927</v>
      </c>
      <c r="F47">
        <v>156</v>
      </c>
    </row>
    <row r="48" spans="1:6">
      <c r="A48" s="3">
        <v>45893</v>
      </c>
      <c r="B48">
        <v>1034</v>
      </c>
      <c r="C48">
        <v>284</v>
      </c>
      <c r="D48" s="15">
        <f t="shared" si="0"/>
        <v>27.466150870406192</v>
      </c>
      <c r="E48">
        <v>492</v>
      </c>
      <c r="F48">
        <v>124</v>
      </c>
    </row>
    <row r="49" spans="1:6">
      <c r="A49" s="3">
        <v>45900</v>
      </c>
      <c r="B49">
        <v>1025</v>
      </c>
      <c r="C49">
        <v>274</v>
      </c>
      <c r="D49" s="15">
        <f t="shared" si="0"/>
        <v>26.731707317073173</v>
      </c>
      <c r="E49">
        <v>356</v>
      </c>
      <c r="F49">
        <v>109</v>
      </c>
    </row>
    <row r="50" spans="1:6">
      <c r="A50" s="3">
        <v>45907</v>
      </c>
      <c r="B50">
        <v>1021</v>
      </c>
      <c r="C50">
        <v>365</v>
      </c>
      <c r="D50" s="15">
        <f t="shared" si="0"/>
        <v>35.749265426052887</v>
      </c>
      <c r="E50">
        <v>560</v>
      </c>
      <c r="F50">
        <v>137</v>
      </c>
    </row>
    <row r="51" spans="1:6">
      <c r="A51" s="3">
        <v>45914</v>
      </c>
      <c r="B51">
        <v>1004</v>
      </c>
      <c r="C51">
        <v>380</v>
      </c>
      <c r="D51" s="15">
        <f t="shared" si="0"/>
        <v>37.848605577689241</v>
      </c>
      <c r="E51">
        <v>1302</v>
      </c>
      <c r="F51">
        <v>281</v>
      </c>
    </row>
    <row r="52" spans="1:6">
      <c r="A52" s="3">
        <v>45921</v>
      </c>
      <c r="B52">
        <v>1023</v>
      </c>
      <c r="C52">
        <v>455</v>
      </c>
      <c r="D52" s="15">
        <f t="shared" si="0"/>
        <v>44.47702834799609</v>
      </c>
      <c r="E52">
        <v>1511</v>
      </c>
      <c r="F52">
        <v>326</v>
      </c>
    </row>
    <row r="53" spans="1:6">
      <c r="A53" s="3">
        <v>45928</v>
      </c>
      <c r="B53">
        <v>1132</v>
      </c>
      <c r="C53">
        <v>370</v>
      </c>
      <c r="D53" s="15">
        <f t="shared" si="0"/>
        <v>32.685512367491164</v>
      </c>
      <c r="E53">
        <v>559</v>
      </c>
      <c r="F53">
        <v>256</v>
      </c>
    </row>
    <row r="54" spans="1:6">
      <c r="A54" s="3">
        <v>45935</v>
      </c>
      <c r="B54">
        <v>1208</v>
      </c>
      <c r="C54">
        <v>383</v>
      </c>
      <c r="D54" s="15">
        <f t="shared" si="0"/>
        <v>31.705298013245031</v>
      </c>
      <c r="E54">
        <v>921</v>
      </c>
      <c r="F54">
        <v>256</v>
      </c>
    </row>
    <row r="55" spans="1:6">
      <c r="A55" s="3">
        <v>45942</v>
      </c>
      <c r="B55">
        <v>1210</v>
      </c>
      <c r="C55">
        <v>368</v>
      </c>
      <c r="D55" s="15">
        <f t="shared" si="0"/>
        <v>30.413223140495866</v>
      </c>
      <c r="E55">
        <v>684</v>
      </c>
      <c r="F55">
        <v>131</v>
      </c>
    </row>
    <row r="56" spans="1:6">
      <c r="A56" s="3">
        <v>45949</v>
      </c>
      <c r="B56">
        <v>1200</v>
      </c>
      <c r="C56">
        <v>437</v>
      </c>
      <c r="D56" s="15">
        <f t="shared" si="0"/>
        <v>36.416666666666671</v>
      </c>
      <c r="E56">
        <v>728</v>
      </c>
      <c r="F56">
        <v>207</v>
      </c>
    </row>
    <row r="57" spans="1:6">
      <c r="A57" s="3">
        <v>45956</v>
      </c>
      <c r="B57">
        <v>1237</v>
      </c>
      <c r="C57">
        <v>364</v>
      </c>
      <c r="D57" s="15">
        <f t="shared" si="0"/>
        <v>29.426030719482622</v>
      </c>
      <c r="E57">
        <v>1501</v>
      </c>
      <c r="F57">
        <v>343</v>
      </c>
    </row>
    <row r="58" spans="1:6">
      <c r="A58" s="3">
        <v>45963</v>
      </c>
      <c r="B58">
        <v>1301</v>
      </c>
      <c r="C58">
        <v>363</v>
      </c>
      <c r="D58" s="15">
        <f t="shared" si="0"/>
        <v>27.901614142966945</v>
      </c>
      <c r="E58">
        <v>1023</v>
      </c>
      <c r="F58">
        <v>261</v>
      </c>
    </row>
    <row r="59" spans="1:6">
      <c r="A59" s="3">
        <v>45970</v>
      </c>
      <c r="B59">
        <v>1369</v>
      </c>
      <c r="C59">
        <v>390</v>
      </c>
      <c r="D59" s="15">
        <f t="shared" si="0"/>
        <v>28.487947406866326</v>
      </c>
      <c r="E59">
        <v>1322</v>
      </c>
      <c r="F59">
        <v>348</v>
      </c>
    </row>
    <row r="60" spans="1:6">
      <c r="A60" s="3">
        <v>45977</v>
      </c>
      <c r="B60">
        <v>1434</v>
      </c>
      <c r="C60">
        <v>432</v>
      </c>
      <c r="D60" s="15">
        <f t="shared" si="0"/>
        <v>30.125523012552303</v>
      </c>
      <c r="E60">
        <v>1654</v>
      </c>
      <c r="F60">
        <v>356</v>
      </c>
    </row>
    <row r="61" spans="1:6">
      <c r="A61" s="3">
        <v>45984</v>
      </c>
      <c r="B61">
        <v>1439</v>
      </c>
      <c r="C61">
        <v>427</v>
      </c>
      <c r="D61" s="15">
        <f t="shared" si="0"/>
        <v>29.673384294649065</v>
      </c>
      <c r="E61">
        <v>2181</v>
      </c>
      <c r="F61">
        <v>328</v>
      </c>
    </row>
    <row r="62" spans="1:6">
      <c r="A62" s="3">
        <v>45991</v>
      </c>
      <c r="B62">
        <v>1341</v>
      </c>
      <c r="C62">
        <v>248</v>
      </c>
      <c r="D62" s="15">
        <f t="shared" si="0"/>
        <v>18.493661446681582</v>
      </c>
      <c r="E62">
        <v>585</v>
      </c>
      <c r="F62">
        <v>183</v>
      </c>
    </row>
    <row r="63" spans="1:6">
      <c r="A63" s="3">
        <v>45998</v>
      </c>
      <c r="B63">
        <v>1305</v>
      </c>
      <c r="C63">
        <v>417</v>
      </c>
      <c r="D63" s="15">
        <f t="shared" si="0"/>
        <v>31.954022988505749</v>
      </c>
      <c r="E63">
        <v>2122</v>
      </c>
      <c r="F63">
        <v>338</v>
      </c>
    </row>
    <row r="64" spans="1:6">
      <c r="A64" s="3">
        <v>46005</v>
      </c>
      <c r="B64">
        <v>1369</v>
      </c>
      <c r="C64">
        <v>465</v>
      </c>
      <c r="D64" s="15">
        <f t="shared" si="0"/>
        <v>33.966398831263696</v>
      </c>
      <c r="E64">
        <v>1543</v>
      </c>
      <c r="F64">
        <v>299</v>
      </c>
    </row>
    <row r="65" spans="1:6">
      <c r="A65" s="3">
        <v>46012</v>
      </c>
      <c r="B65">
        <v>1324</v>
      </c>
      <c r="C65">
        <v>363</v>
      </c>
      <c r="D65" s="15">
        <f t="shared" si="0"/>
        <v>27.416918429003022</v>
      </c>
      <c r="E65">
        <v>462</v>
      </c>
      <c r="F65">
        <v>152</v>
      </c>
    </row>
    <row r="66" spans="1:6">
      <c r="A66" s="3">
        <v>46019</v>
      </c>
      <c r="B66">
        <v>1277</v>
      </c>
      <c r="C66">
        <v>228</v>
      </c>
      <c r="D66" s="15">
        <f t="shared" si="0"/>
        <v>17.854346123727485</v>
      </c>
      <c r="E66">
        <v>2</v>
      </c>
      <c r="F66">
        <v>65</v>
      </c>
    </row>
    <row r="67" spans="1:6">
      <c r="A67" s="3">
        <v>46026</v>
      </c>
      <c r="B67">
        <v>1224</v>
      </c>
      <c r="C67">
        <v>250</v>
      </c>
      <c r="D67" s="15">
        <f t="shared" ref="D67:D69" si="1">C67/B67*100</f>
        <v>20.424836601307188</v>
      </c>
      <c r="E67">
        <v>0</v>
      </c>
      <c r="F67">
        <v>68</v>
      </c>
    </row>
    <row r="68" spans="1:6">
      <c r="A68" s="3">
        <v>46033</v>
      </c>
      <c r="B68">
        <v>1195</v>
      </c>
      <c r="C68">
        <v>199</v>
      </c>
      <c r="D68" s="15">
        <f t="shared" si="1"/>
        <v>16.652719665271967</v>
      </c>
      <c r="E68">
        <v>1</v>
      </c>
      <c r="F68">
        <v>74</v>
      </c>
    </row>
    <row r="69" spans="1:6">
      <c r="A69" s="3">
        <v>46040</v>
      </c>
      <c r="B69">
        <v>1123</v>
      </c>
      <c r="C69">
        <v>281</v>
      </c>
      <c r="D69" s="15">
        <f t="shared" si="1"/>
        <v>25.022261798753338</v>
      </c>
      <c r="E69">
        <v>89</v>
      </c>
      <c r="F69">
        <v>63</v>
      </c>
    </row>
    <row r="70" spans="1:6">
      <c r="A70" s="3">
        <v>46047</v>
      </c>
      <c r="B70">
        <v>1060</v>
      </c>
      <c r="C70">
        <v>315</v>
      </c>
      <c r="D70" s="16">
        <v>29.72</v>
      </c>
      <c r="E70">
        <v>101</v>
      </c>
      <c r="F70">
        <v>93</v>
      </c>
    </row>
    <row r="71" spans="1:6">
      <c r="A71" s="3">
        <v>46054</v>
      </c>
      <c r="B71">
        <v>1053</v>
      </c>
      <c r="C71">
        <v>276</v>
      </c>
      <c r="D71" s="16">
        <v>26.11</v>
      </c>
      <c r="E71">
        <v>91</v>
      </c>
      <c r="F71">
        <v>101</v>
      </c>
    </row>
    <row r="72" spans="1:6">
      <c r="A72" s="3">
        <v>46061</v>
      </c>
      <c r="B72">
        <v>1057</v>
      </c>
      <c r="C72">
        <v>278</v>
      </c>
      <c r="D72" s="16">
        <v>26.3</v>
      </c>
      <c r="E72">
        <v>1333</v>
      </c>
      <c r="F72">
        <v>265</v>
      </c>
    </row>
    <row r="73" spans="1:6">
      <c r="A73" s="3">
        <v>46068</v>
      </c>
      <c r="B73">
        <v>1006</v>
      </c>
      <c r="C73">
        <v>274</v>
      </c>
      <c r="D73" s="16">
        <v>27.24</v>
      </c>
      <c r="E73">
        <v>1615</v>
      </c>
      <c r="F73">
        <v>250</v>
      </c>
    </row>
    <row r="74" spans="1:6">
      <c r="A74" s="3">
        <v>46075</v>
      </c>
      <c r="B74">
        <v>972</v>
      </c>
      <c r="C74">
        <v>283</v>
      </c>
      <c r="D74" s="16">
        <v>29.12</v>
      </c>
      <c r="E74">
        <v>1010</v>
      </c>
      <c r="F74">
        <v>204</v>
      </c>
    </row>
    <row r="75" spans="1:6">
      <c r="A75" s="3">
        <v>46082</v>
      </c>
      <c r="B75">
        <v>995</v>
      </c>
      <c r="C75">
        <v>363</v>
      </c>
      <c r="D75" s="16">
        <v>36.479999999999997</v>
      </c>
      <c r="E75">
        <v>1043</v>
      </c>
      <c r="F75">
        <v>277</v>
      </c>
    </row>
    <row r="76" spans="1:6">
      <c r="A76" s="3">
        <v>46089</v>
      </c>
      <c r="B76">
        <v>1010</v>
      </c>
      <c r="C76">
        <v>381</v>
      </c>
      <c r="D76" s="16">
        <v>37.72</v>
      </c>
      <c r="E76">
        <v>472</v>
      </c>
      <c r="F76">
        <v>119</v>
      </c>
    </row>
    <row r="77" spans="1:6">
      <c r="A77" s="3">
        <v>46096</v>
      </c>
      <c r="B77">
        <v>997</v>
      </c>
      <c r="C77">
        <v>418</v>
      </c>
      <c r="D77" s="16">
        <v>41.93</v>
      </c>
      <c r="E77">
        <v>389</v>
      </c>
      <c r="F77">
        <v>93</v>
      </c>
    </row>
    <row r="78" spans="1:6">
      <c r="A78" s="3">
        <v>46103</v>
      </c>
      <c r="B78">
        <v>1013</v>
      </c>
      <c r="C78">
        <v>288</v>
      </c>
      <c r="D78" s="16">
        <v>28.43</v>
      </c>
      <c r="E78">
        <v>373</v>
      </c>
      <c r="F78">
        <v>104</v>
      </c>
    </row>
    <row r="79" spans="1:6">
      <c r="A79" s="3">
        <v>46110</v>
      </c>
      <c r="B79">
        <v>1024</v>
      </c>
      <c r="C79">
        <v>321</v>
      </c>
      <c r="D79" s="16">
        <v>31.35</v>
      </c>
      <c r="E79">
        <v>469</v>
      </c>
      <c r="F79">
        <v>84</v>
      </c>
    </row>
    <row r="80" spans="1:6">
      <c r="A80" s="3">
        <v>46117</v>
      </c>
      <c r="B80">
        <v>999</v>
      </c>
      <c r="C80">
        <v>293</v>
      </c>
      <c r="D80" s="16">
        <v>29.33</v>
      </c>
      <c r="E80">
        <v>822</v>
      </c>
      <c r="F80">
        <v>209</v>
      </c>
    </row>
    <row r="81" spans="1:6">
      <c r="A81" s="3">
        <v>46124</v>
      </c>
      <c r="B81">
        <v>1010</v>
      </c>
      <c r="C81">
        <v>348</v>
      </c>
      <c r="D81" s="16">
        <v>34.46</v>
      </c>
      <c r="E81">
        <v>1195</v>
      </c>
      <c r="F81">
        <v>288</v>
      </c>
    </row>
    <row r="82" spans="1:6">
      <c r="A82" s="3">
        <v>46131</v>
      </c>
      <c r="B82">
        <v>1030</v>
      </c>
      <c r="C82">
        <v>338</v>
      </c>
      <c r="D82" s="16">
        <v>32.82</v>
      </c>
      <c r="E82">
        <v>1112</v>
      </c>
      <c r="F82">
        <v>264</v>
      </c>
    </row>
    <row r="83" spans="1:6">
      <c r="A83" s="3">
        <v>46138</v>
      </c>
      <c r="B83">
        <v>1062</v>
      </c>
      <c r="C83">
        <v>344</v>
      </c>
      <c r="D83" s="16">
        <v>32.39</v>
      </c>
      <c r="E83">
        <v>439</v>
      </c>
      <c r="F83">
        <v>160</v>
      </c>
    </row>
    <row r="84" spans="1:6">
      <c r="A84" s="3">
        <v>46145</v>
      </c>
      <c r="B84">
        <v>1062</v>
      </c>
      <c r="C84">
        <v>366</v>
      </c>
      <c r="D84" s="16">
        <v>34.46</v>
      </c>
      <c r="E84">
        <v>369</v>
      </c>
      <c r="F84">
        <v>116</v>
      </c>
    </row>
    <row r="85" spans="1:6">
      <c r="A85" s="3">
        <v>46152</v>
      </c>
      <c r="B85">
        <v>1068</v>
      </c>
      <c r="C85">
        <v>348</v>
      </c>
      <c r="D85" s="16">
        <v>32.58</v>
      </c>
      <c r="E85">
        <v>354</v>
      </c>
      <c r="F85">
        <v>127</v>
      </c>
    </row>
    <row r="86" spans="1:6">
      <c r="A86" s="3">
        <v>46159</v>
      </c>
      <c r="B86">
        <v>1063</v>
      </c>
      <c r="C86">
        <v>380</v>
      </c>
      <c r="D86" s="16">
        <v>35.75</v>
      </c>
      <c r="E86">
        <v>541</v>
      </c>
      <c r="F86">
        <v>154</v>
      </c>
    </row>
    <row r="87" spans="1:6">
      <c r="A87" s="3">
        <v>46166</v>
      </c>
      <c r="B87">
        <v>1026</v>
      </c>
      <c r="C87">
        <v>313</v>
      </c>
      <c r="D87" s="16">
        <v>30.51</v>
      </c>
      <c r="E87">
        <v>706</v>
      </c>
      <c r="F87">
        <v>205</v>
      </c>
    </row>
    <row r="88" spans="1:6">
      <c r="A88" s="3">
        <v>46173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Revenue</vt:lpstr>
      <vt:lpstr>Shift Count</vt:lpstr>
      <vt:lpstr>Active Staff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Jake Biddlecome</dc:creator>
  <cp:lastModifiedBy>Jake Biddlecome</cp:lastModifiedBy>
  <dcterms:created xsi:type="dcterms:W3CDTF">2025-11-07T18:41:19Z</dcterms:created>
  <dcterms:modified xsi:type="dcterms:W3CDTF">2026-06-01T20:24:25Z</dcterms:modified>
</cp:coreProperties>
</file>